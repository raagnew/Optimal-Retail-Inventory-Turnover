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TAIL\"/>
    </mc:Choice>
  </mc:AlternateContent>
  <xr:revisionPtr revIDLastSave="0" documentId="13_ncr:1_{7A29B7FE-C0A2-4F7E-A5AE-83884DC0781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ISSON" sheetId="1" r:id="rId1"/>
    <sheet name="COMPOUND_POISS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2" l="1"/>
  <c r="J19" i="2" s="1"/>
  <c r="F19" i="2"/>
  <c r="C19" i="2"/>
  <c r="I18" i="2"/>
  <c r="J18" i="2" s="1"/>
  <c r="F18" i="2"/>
  <c r="C18" i="2"/>
  <c r="I17" i="2"/>
  <c r="J17" i="2" s="1"/>
  <c r="F17" i="2"/>
  <c r="C17" i="2"/>
  <c r="C23" i="1"/>
  <c r="C22" i="1"/>
  <c r="I23" i="1"/>
  <c r="J23" i="1" s="1"/>
  <c r="F23" i="1"/>
  <c r="I22" i="1"/>
  <c r="J22" i="1" s="1"/>
  <c r="F22" i="1"/>
  <c r="C20" i="1"/>
  <c r="C19" i="1"/>
  <c r="C18" i="1"/>
  <c r="C17" i="1"/>
  <c r="K19" i="2"/>
  <c r="K18" i="2"/>
  <c r="K17" i="2"/>
  <c r="K23" i="1"/>
  <c r="K21" i="1"/>
  <c r="L18" i="2"/>
  <c r="K20" i="1"/>
  <c r="K19" i="1"/>
  <c r="M17" i="2"/>
  <c r="K18" i="1"/>
  <c r="L17" i="2"/>
  <c r="K22" i="1"/>
  <c r="K17" i="1"/>
  <c r="L23" i="1"/>
  <c r="M23" i="1"/>
  <c r="L19" i="2"/>
  <c r="M19" i="2"/>
  <c r="L22" i="1"/>
  <c r="M22" i="1"/>
  <c r="O17" i="2" l="1"/>
  <c r="P17" i="2"/>
  <c r="Q17" i="2"/>
  <c r="S17" i="2" s="1"/>
  <c r="P19" i="2"/>
  <c r="O19" i="2"/>
  <c r="Q19" i="2"/>
  <c r="S19" i="2" s="1"/>
  <c r="O18" i="2"/>
  <c r="P18" i="2"/>
  <c r="P22" i="1"/>
  <c r="O22" i="1"/>
  <c r="O23" i="1"/>
  <c r="P23" i="1"/>
  <c r="Q23" i="1"/>
  <c r="S23" i="1" s="1"/>
  <c r="Q22" i="1"/>
  <c r="S22" i="1" s="1"/>
  <c r="C21" i="1"/>
  <c r="N22" i="1"/>
  <c r="M18" i="2"/>
  <c r="N19" i="2"/>
  <c r="N17" i="2"/>
  <c r="N23" i="1"/>
  <c r="Q18" i="2" l="1"/>
  <c r="S18" i="2" s="1"/>
  <c r="S20" i="2" s="1"/>
  <c r="R23" i="1"/>
  <c r="O20" i="2"/>
  <c r="R19" i="2"/>
  <c r="R17" i="2"/>
  <c r="P20" i="2"/>
  <c r="R22" i="1"/>
  <c r="F18" i="1"/>
  <c r="F19" i="1"/>
  <c r="F20" i="1"/>
  <c r="F21" i="1"/>
  <c r="F17" i="1"/>
  <c r="I21" i="1"/>
  <c r="J21" i="1" s="1"/>
  <c r="I18" i="1"/>
  <c r="J18" i="1" s="1"/>
  <c r="I19" i="1"/>
  <c r="J19" i="1" s="1"/>
  <c r="I20" i="1"/>
  <c r="J20" i="1" s="1"/>
  <c r="I17" i="1"/>
  <c r="J17" i="1" s="1"/>
  <c r="L18" i="1"/>
  <c r="M18" i="1"/>
  <c r="L21" i="1"/>
  <c r="N18" i="2"/>
  <c r="L20" i="1"/>
  <c r="M20" i="1"/>
  <c r="M19" i="1"/>
  <c r="L17" i="1"/>
  <c r="L19" i="1"/>
  <c r="M17" i="1"/>
  <c r="M21" i="1"/>
  <c r="Q20" i="2" l="1"/>
  <c r="R20" i="2" s="1"/>
  <c r="R18" i="2"/>
  <c r="P17" i="1"/>
  <c r="O17" i="1"/>
  <c r="Q18" i="1"/>
  <c r="S18" i="1" s="1"/>
  <c r="O18" i="1"/>
  <c r="P18" i="1"/>
  <c r="Q21" i="1"/>
  <c r="S21" i="1" s="1"/>
  <c r="P20" i="1"/>
  <c r="O20" i="1"/>
  <c r="Q19" i="1"/>
  <c r="S19" i="1" s="1"/>
  <c r="Q17" i="1"/>
  <c r="P21" i="1"/>
  <c r="O21" i="1"/>
  <c r="O19" i="1"/>
  <c r="P19" i="1"/>
  <c r="Q20" i="1"/>
  <c r="N21" i="1"/>
  <c r="N17" i="1"/>
  <c r="N19" i="1"/>
  <c r="N20" i="1"/>
  <c r="N18" i="1"/>
  <c r="R20" i="1" l="1"/>
  <c r="O24" i="1"/>
  <c r="P24" i="1"/>
  <c r="Q24" i="1"/>
  <c r="S17" i="1"/>
  <c r="S20" i="1"/>
  <c r="R18" i="1"/>
  <c r="R21" i="1"/>
  <c r="R17" i="1"/>
  <c r="R19" i="1"/>
  <c r="S24" i="1" l="1"/>
  <c r="R24" i="1"/>
</calcChain>
</file>

<file path=xl/sharedStrings.xml><?xml version="1.0" encoding="utf-8"?>
<sst xmlns="http://schemas.openxmlformats.org/spreadsheetml/2006/main" count="168" uniqueCount="71">
  <si>
    <t>Reference</t>
  </si>
  <si>
    <t>Item</t>
  </si>
  <si>
    <t>Inventory Carrying Cost Rate</t>
  </si>
  <si>
    <t>Mean</t>
  </si>
  <si>
    <t>Demand</t>
  </si>
  <si>
    <t>Rate</t>
  </si>
  <si>
    <t>Review</t>
  </si>
  <si>
    <t>Time Units per Year</t>
  </si>
  <si>
    <t>(assumed weeks)</t>
  </si>
  <si>
    <t>Period</t>
  </si>
  <si>
    <t>Delivery</t>
  </si>
  <si>
    <t>Lead</t>
  </si>
  <si>
    <t>Time</t>
  </si>
  <si>
    <t>$ Unit</t>
  </si>
  <si>
    <t>Price</t>
  </si>
  <si>
    <t>Cost</t>
  </si>
  <si>
    <t>Selling</t>
  </si>
  <si>
    <t>Markup</t>
  </si>
  <si>
    <t>Annual $</t>
  </si>
  <si>
    <t>Sales</t>
  </si>
  <si>
    <t>Throughput</t>
  </si>
  <si>
    <t>Average $</t>
  </si>
  <si>
    <t>Inventory</t>
  </si>
  <si>
    <t>Turnover</t>
  </si>
  <si>
    <t>Marginal</t>
  </si>
  <si>
    <t>Minimum</t>
  </si>
  <si>
    <t>Optimal</t>
  </si>
  <si>
    <t>OUTL</t>
  </si>
  <si>
    <t>R. A. Agnew, Inequalities with Application in Retail Inventory Analysis, Journal of Applied Probability, Vol 12, pp 852-858, 1975.</t>
  </si>
  <si>
    <t>Service</t>
  </si>
  <si>
    <t>Level</t>
  </si>
  <si>
    <t>Average</t>
  </si>
  <si>
    <t>Unit</t>
  </si>
  <si>
    <t>OUTL  =  Order-Up-To-Level</t>
  </si>
  <si>
    <t>Expected</t>
  </si>
  <si>
    <t>Order</t>
  </si>
  <si>
    <t>Quantity</t>
  </si>
  <si>
    <t>Can encompass a large number of items within Excel</t>
  </si>
  <si>
    <t>Review periods can be adjusted to allow for order quantity minimums (by item or across items)</t>
  </si>
  <si>
    <t>(allows for annual cost of capital, spoilage, and obsolescence)</t>
  </si>
  <si>
    <t>Total</t>
  </si>
  <si>
    <t>Inputs</t>
  </si>
  <si>
    <t>Outputs</t>
  </si>
  <si>
    <t>Inputs &amp; Outputs</t>
  </si>
  <si>
    <t>Can be utilized as an assortment planning tool for staple (limited seasonality) items, everything from shock absorbers to underwear in retail or service parts in wholesale</t>
  </si>
  <si>
    <t>Policy at a review is to order the positive difference between OUTL and Inventory Position (On Hand + On Order), else zero</t>
  </si>
  <si>
    <t>Standard</t>
  </si>
  <si>
    <t>Deviation</t>
  </si>
  <si>
    <t xml:space="preserve">As an approximation, we assume that demand follows a general Gaussian process </t>
  </si>
  <si>
    <t>These macros employ formulas from Appendix 4 in Hadley &amp; Whitin, Analysis of Inventory Systems, Prentice-Hall, 1963</t>
  </si>
  <si>
    <t>Demand standard deviation is the standard deviation of demand per time unit</t>
  </si>
  <si>
    <t>For low-demand, one-at-a-time items, the Poisson macros OUTL, SVL, and AVI are preferable, but the Gaussian approximations are not bad</t>
  </si>
  <si>
    <t>Can be productionalized for inventory management with simple SKU-level demand forecasting/smoothing tools</t>
  </si>
  <si>
    <t>Mean demand rate is the expected demand per time unit (week in this example)</t>
  </si>
  <si>
    <t>PERIODIC REVIEW STOCHASTIC INVENTORY MODEL  -  GENERAL GAUSSIAN DEMAND</t>
  </si>
  <si>
    <t>Calculations can be easily reproduced in an open-source analytical language like Python or R</t>
  </si>
  <si>
    <t>For high-demand items with random transaction quantities, the Gaussian approximations are good and definitely preferable in terms of realistic OUTLs and results</t>
  </si>
  <si>
    <t xml:space="preserve">When demand is one-at-a-time Poisson, standard deviation is square root of the mean (Poisson variance = mean) </t>
  </si>
  <si>
    <t>Simple macro functions are GAUSSIAN_OUTL, GAUSSIAN_SVL, and GAUSSIAN_AVI (Click Alt-F11 to view Visual Basic codes)</t>
  </si>
  <si>
    <t>Gaussian Approximation to Poisson Demand</t>
  </si>
  <si>
    <t>1A</t>
  </si>
  <si>
    <t>2A</t>
  </si>
  <si>
    <t>3A</t>
  </si>
  <si>
    <t>Gaussian Approximation to Compound Poisson Demand when Partial Fills are Allowed</t>
  </si>
  <si>
    <t>Profit</t>
  </si>
  <si>
    <t>Order one unit when inventory position is zero</t>
  </si>
  <si>
    <t>Don't stock</t>
  </si>
  <si>
    <t>For items 1A-3A, demand is assumed to follow a Compound Poisson Process with random transaction quantities (1, 2, 3, 4 with probability .4, .3, .2, .1)</t>
  </si>
  <si>
    <t>For items 1-7, demand is assumed to follow a Poisson Process (one-at-a-time random, independent demands)</t>
  </si>
  <si>
    <t>Available for download at Github website above.</t>
  </si>
  <si>
    <t>Bob Agnew, raagnew1@gmail.com, raagnew.com, github.com/raagnew/Optimal-Retail-Inventory-Turnover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</si>
</sst>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0.0000000"/>
    <numFmt numFmtId="166" formatCode="0.00000000"/>
    <numFmt numFmtId="167" formatCode="0.00000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0" fontId="1" fillId="2" borderId="2" xfId="1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0" fontId="1" fillId="3" borderId="2" xfId="1" applyNumberFormat="1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7" xfId="0" applyFill="1" applyBorder="1" applyAlignment="1">
      <alignment horizontal="center"/>
    </xf>
    <xf numFmtId="9" fontId="1" fillId="2" borderId="7" xfId="1" applyFont="1" applyFill="1" applyBorder="1" applyAlignment="1">
      <alignment horizontal="center"/>
    </xf>
    <xf numFmtId="0" fontId="3" fillId="0" borderId="0" xfId="0" applyFont="1"/>
    <xf numFmtId="165" fontId="0" fillId="0" borderId="0" xfId="0" applyNumberFormat="1"/>
    <xf numFmtId="2" fontId="0" fillId="3" borderId="7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0" fontId="1" fillId="0" borderId="5" xfId="1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0" fontId="1" fillId="2" borderId="3" xfId="1" applyNumberFormat="1" applyFont="1" applyFill="1" applyBorder="1" applyAlignment="1">
      <alignment horizontal="center"/>
    </xf>
    <xf numFmtId="0" fontId="2" fillId="0" borderId="0" xfId="0" applyFont="1" applyAlignment="1">
      <alignment horizontal="left"/>
    </xf>
    <xf numFmtId="2" fontId="0" fillId="3" borderId="8" xfId="0" applyNumberFormat="1" applyFill="1" applyBorder="1" applyAlignment="1">
      <alignment horizontal="center"/>
    </xf>
    <xf numFmtId="0" fontId="2" fillId="4" borderId="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164" fontId="0" fillId="3" borderId="1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C44"/>
  <sheetViews>
    <sheetView tabSelected="1" workbookViewId="0">
      <selection sqref="A1:R1"/>
    </sheetView>
  </sheetViews>
  <sheetFormatPr defaultRowHeight="15" x14ac:dyDescent="0.25"/>
  <cols>
    <col min="1" max="1" width="5.140625" customWidth="1"/>
    <col min="2" max="2" width="8.42578125" customWidth="1"/>
    <col min="3" max="3" width="11.140625" customWidth="1"/>
    <col min="4" max="4" width="8.42578125" customWidth="1"/>
    <col min="5" max="5" width="7.5703125" customWidth="1"/>
    <col min="7" max="8" width="7.5703125" customWidth="1"/>
    <col min="9" max="9" width="8.140625" customWidth="1"/>
    <col min="10" max="10" width="9.5703125" bestFit="1" customWidth="1"/>
    <col min="11" max="11" width="8.140625" customWidth="1"/>
    <col min="12" max="12" width="8.42578125" customWidth="1"/>
    <col min="13" max="13" width="9.5703125" customWidth="1"/>
    <col min="14" max="14" width="9" customWidth="1"/>
    <col min="15" max="15" width="10.140625" customWidth="1"/>
    <col min="16" max="16" width="11.28515625" customWidth="1"/>
    <col min="17" max="17" width="9.7109375" customWidth="1"/>
    <col min="18" max="18" width="18.85546875" bestFit="1" customWidth="1"/>
    <col min="19" max="19" width="9" customWidth="1"/>
  </cols>
  <sheetData>
    <row r="1" spans="1:19" ht="23.25" x14ac:dyDescent="0.35">
      <c r="A1" s="46" t="s">
        <v>54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31"/>
    </row>
    <row r="2" spans="1:19" x14ac:dyDescent="0.25">
      <c r="A2" s="1"/>
    </row>
    <row r="3" spans="1:19" ht="18.75" x14ac:dyDescent="0.3">
      <c r="A3" s="47" t="s">
        <v>70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32"/>
    </row>
    <row r="5" spans="1:19" ht="15.75" x14ac:dyDescent="0.25">
      <c r="A5" s="21" t="s">
        <v>0</v>
      </c>
    </row>
    <row r="6" spans="1:19" x14ac:dyDescent="0.25">
      <c r="A6" t="s">
        <v>28</v>
      </c>
    </row>
    <row r="7" spans="1:19" x14ac:dyDescent="0.25">
      <c r="A7" t="s">
        <v>69</v>
      </c>
    </row>
    <row r="9" spans="1:19" ht="15.75" x14ac:dyDescent="0.25">
      <c r="A9" s="21" t="s">
        <v>43</v>
      </c>
    </row>
    <row r="10" spans="1:19" x14ac:dyDescent="0.25">
      <c r="A10" s="6" t="s">
        <v>7</v>
      </c>
      <c r="B10" s="7"/>
      <c r="C10" s="7"/>
      <c r="D10" s="7"/>
      <c r="E10" s="8"/>
      <c r="F10" s="19">
        <v>52</v>
      </c>
      <c r="G10" t="s">
        <v>8</v>
      </c>
    </row>
    <row r="11" spans="1:19" x14ac:dyDescent="0.25">
      <c r="A11" s="6" t="s">
        <v>2</v>
      </c>
      <c r="B11" s="7"/>
      <c r="C11" s="7"/>
      <c r="D11" s="7"/>
      <c r="E11" s="8"/>
      <c r="F11" s="20">
        <v>0.3</v>
      </c>
      <c r="G11" t="s">
        <v>39</v>
      </c>
    </row>
    <row r="14" spans="1:19" x14ac:dyDescent="0.25">
      <c r="A14" s="2"/>
      <c r="B14" s="2" t="s">
        <v>3</v>
      </c>
      <c r="C14" s="2" t="s">
        <v>4</v>
      </c>
      <c r="D14" s="2" t="s">
        <v>10</v>
      </c>
      <c r="E14" s="2"/>
      <c r="F14" s="5" t="s">
        <v>34</v>
      </c>
      <c r="G14" s="2" t="s">
        <v>13</v>
      </c>
      <c r="H14" s="2"/>
      <c r="I14" s="2"/>
      <c r="J14" s="2" t="s">
        <v>24</v>
      </c>
      <c r="K14" s="2"/>
      <c r="L14" s="2"/>
      <c r="M14" s="2" t="s">
        <v>31</v>
      </c>
      <c r="N14" s="2" t="s">
        <v>24</v>
      </c>
      <c r="O14" s="2" t="s">
        <v>31</v>
      </c>
      <c r="P14" s="2" t="s">
        <v>31</v>
      </c>
      <c r="Q14" s="2"/>
      <c r="R14" s="2" t="s">
        <v>31</v>
      </c>
      <c r="S14" s="2" t="s">
        <v>31</v>
      </c>
    </row>
    <row r="15" spans="1:19" x14ac:dyDescent="0.25">
      <c r="A15" s="3"/>
      <c r="B15" s="3" t="s">
        <v>4</v>
      </c>
      <c r="C15" s="3" t="s">
        <v>46</v>
      </c>
      <c r="D15" s="3" t="s">
        <v>11</v>
      </c>
      <c r="E15" s="3" t="s">
        <v>6</v>
      </c>
      <c r="F15" s="3" t="s">
        <v>35</v>
      </c>
      <c r="G15" s="3" t="s">
        <v>16</v>
      </c>
      <c r="H15" s="3" t="s">
        <v>13</v>
      </c>
      <c r="I15" s="3" t="s">
        <v>17</v>
      </c>
      <c r="J15" s="3" t="s">
        <v>23</v>
      </c>
      <c r="K15" s="3" t="s">
        <v>26</v>
      </c>
      <c r="L15" s="3" t="s">
        <v>29</v>
      </c>
      <c r="M15" s="3" t="s">
        <v>32</v>
      </c>
      <c r="N15" s="3" t="s">
        <v>23</v>
      </c>
      <c r="O15" s="3" t="s">
        <v>18</v>
      </c>
      <c r="P15" s="3" t="s">
        <v>18</v>
      </c>
      <c r="Q15" s="3" t="s">
        <v>21</v>
      </c>
      <c r="R15" s="3" t="s">
        <v>23</v>
      </c>
      <c r="S15" s="3" t="s">
        <v>18</v>
      </c>
    </row>
    <row r="16" spans="1:19" x14ac:dyDescent="0.25">
      <c r="A16" s="4" t="s">
        <v>1</v>
      </c>
      <c r="B16" s="4" t="s">
        <v>5</v>
      </c>
      <c r="C16" s="4" t="s">
        <v>47</v>
      </c>
      <c r="D16" s="4" t="s">
        <v>12</v>
      </c>
      <c r="E16" s="4" t="s">
        <v>9</v>
      </c>
      <c r="F16" s="4" t="s">
        <v>36</v>
      </c>
      <c r="G16" s="4" t="s">
        <v>14</v>
      </c>
      <c r="H16" s="4" t="s">
        <v>15</v>
      </c>
      <c r="I16" s="4" t="s">
        <v>5</v>
      </c>
      <c r="J16" s="4" t="s">
        <v>25</v>
      </c>
      <c r="K16" s="4" t="s">
        <v>27</v>
      </c>
      <c r="L16" s="4" t="s">
        <v>30</v>
      </c>
      <c r="M16" s="4" t="s">
        <v>22</v>
      </c>
      <c r="N16" s="4" t="s">
        <v>5</v>
      </c>
      <c r="O16" s="4" t="s">
        <v>19</v>
      </c>
      <c r="P16" s="4" t="s">
        <v>20</v>
      </c>
      <c r="Q16" s="4" t="s">
        <v>22</v>
      </c>
      <c r="R16" s="4" t="s">
        <v>5</v>
      </c>
      <c r="S16" s="4" t="s">
        <v>64</v>
      </c>
    </row>
    <row r="17" spans="1:29" x14ac:dyDescent="0.25">
      <c r="A17" s="3">
        <v>1</v>
      </c>
      <c r="B17" s="9">
        <v>64</v>
      </c>
      <c r="C17" s="9">
        <f>SQRT(B17)</f>
        <v>8</v>
      </c>
      <c r="D17" s="9">
        <v>3</v>
      </c>
      <c r="E17" s="9">
        <v>0.5</v>
      </c>
      <c r="F17" s="9">
        <f t="shared" ref="F17:F23" si="0">B17*E17</f>
        <v>32</v>
      </c>
      <c r="G17" s="10">
        <v>1</v>
      </c>
      <c r="H17" s="10">
        <v>0.85</v>
      </c>
      <c r="I17" s="11">
        <f>G17/H17-1</f>
        <v>0.17647058823529416</v>
      </c>
      <c r="J17" s="12">
        <f>$F$11/I17</f>
        <v>1.6999999999999995</v>
      </c>
      <c r="K17" s="13">
        <f t="shared" ref="K17:K23" si="1">GAUSSIAN_OUTL($F$10,B17,C17,D17,E17,J17)</f>
        <v>256</v>
      </c>
      <c r="L17" s="14">
        <f>GAUSSIAN_SVL(K17,B17,C17,D17,E17)</f>
        <v>0.99727861298576004</v>
      </c>
      <c r="M17" s="12">
        <f>GAUSSIAN_AVI(K17,B17,C17,D17,E17)</f>
        <v>48.012112499313517</v>
      </c>
      <c r="N17" s="12">
        <f t="shared" ref="N17:N23" si="2">$F$10*B17*(L17-GAUSSIAN_SVL(K17-1,B17,C17,D17,E17))/(M17-GAUSSIAN_AVI(K17-1,B17,C17,D17,E17))</f>
        <v>1.8431641738098123</v>
      </c>
      <c r="O17" s="15">
        <f t="shared" ref="O17:P21" si="3">G17*$F$10*$B17*$L17</f>
        <v>3318.9432240166093</v>
      </c>
      <c r="P17" s="15">
        <f t="shared" si="3"/>
        <v>2821.1017404141176</v>
      </c>
      <c r="Q17" s="15">
        <f>H17*M17</f>
        <v>40.81029562441649</v>
      </c>
      <c r="R17" s="12">
        <f t="shared" ref="R17:R21" si="4">P17/Q17</f>
        <v>69.127206682773306</v>
      </c>
      <c r="S17" s="39">
        <f>(G17-H17)*$F$10*B17*L17-$F$11*Q17</f>
        <v>485.59839491516652</v>
      </c>
      <c r="T17" s="40" t="s">
        <v>59</v>
      </c>
      <c r="U17" s="41"/>
      <c r="V17" s="41"/>
      <c r="W17" s="41"/>
      <c r="X17" s="41"/>
      <c r="Y17" s="38"/>
    </row>
    <row r="18" spans="1:29" x14ac:dyDescent="0.25">
      <c r="A18" s="3">
        <v>2</v>
      </c>
      <c r="B18" s="9">
        <v>16</v>
      </c>
      <c r="C18" s="9">
        <f t="shared" ref="C18:C20" si="5">SQRT(B18)</f>
        <v>4</v>
      </c>
      <c r="D18" s="9">
        <v>3</v>
      </c>
      <c r="E18" s="9">
        <v>0.5</v>
      </c>
      <c r="F18" s="9">
        <f t="shared" si="0"/>
        <v>8</v>
      </c>
      <c r="G18" s="10">
        <v>3</v>
      </c>
      <c r="H18" s="10">
        <v>2.5</v>
      </c>
      <c r="I18" s="11">
        <f>G18/H18-1</f>
        <v>0.19999999999999996</v>
      </c>
      <c r="J18" s="12">
        <f>$F$11/I18</f>
        <v>1.5000000000000002</v>
      </c>
      <c r="K18" s="13">
        <f t="shared" si="1"/>
        <v>72</v>
      </c>
      <c r="L18" s="14">
        <f t="shared" ref="L18:L23" si="6">GAUSSIAN_SVL(K18,B18,C18,D18,E18)</f>
        <v>0.99461527816363826</v>
      </c>
      <c r="M18" s="12">
        <f t="shared" ref="M18:M21" si="7">GAUSSIAN_AVI(K18,B18,C18,D18,E18)</f>
        <v>20.011056576219072</v>
      </c>
      <c r="N18" s="12">
        <f t="shared" si="2"/>
        <v>1.9752187445435576</v>
      </c>
      <c r="O18" s="15">
        <f t="shared" si="3"/>
        <v>2482.5597342964411</v>
      </c>
      <c r="P18" s="15">
        <f t="shared" si="3"/>
        <v>2068.7997785803677</v>
      </c>
      <c r="Q18" s="15">
        <f>H18*M18</f>
        <v>50.027641440547683</v>
      </c>
      <c r="R18" s="12">
        <f t="shared" si="4"/>
        <v>41.35313436750576</v>
      </c>
      <c r="S18" s="39">
        <f t="shared" ref="S18:S21" si="8">(G18-H18)*$F$10*B18*L18-$F$11*Q18</f>
        <v>398.75166328390924</v>
      </c>
      <c r="T18" s="40" t="s">
        <v>59</v>
      </c>
      <c r="U18" s="41"/>
      <c r="V18" s="41"/>
      <c r="W18" s="41"/>
      <c r="X18" s="41"/>
      <c r="Y18" s="38"/>
    </row>
    <row r="19" spans="1:29" x14ac:dyDescent="0.25">
      <c r="A19" s="3">
        <v>3</v>
      </c>
      <c r="B19" s="9">
        <v>4</v>
      </c>
      <c r="C19" s="9">
        <f t="shared" si="5"/>
        <v>2</v>
      </c>
      <c r="D19" s="9">
        <v>6</v>
      </c>
      <c r="E19" s="9">
        <v>1</v>
      </c>
      <c r="F19" s="9">
        <f t="shared" si="0"/>
        <v>4</v>
      </c>
      <c r="G19" s="10">
        <v>15</v>
      </c>
      <c r="H19" s="10">
        <v>12</v>
      </c>
      <c r="I19" s="11">
        <f>G19/H19-1</f>
        <v>0.25</v>
      </c>
      <c r="J19" s="12">
        <f>$F$11/I19</f>
        <v>1.2</v>
      </c>
      <c r="K19" s="13">
        <f t="shared" si="1"/>
        <v>38</v>
      </c>
      <c r="L19" s="14">
        <f t="shared" si="6"/>
        <v>0.98575208166494299</v>
      </c>
      <c r="M19" s="12">
        <f t="shared" si="7"/>
        <v>12.021341509588229</v>
      </c>
      <c r="N19" s="12">
        <f t="shared" si="2"/>
        <v>1.7703706859509991</v>
      </c>
      <c r="O19" s="15">
        <f t="shared" si="3"/>
        <v>3075.546494794622</v>
      </c>
      <c r="P19" s="15">
        <f t="shared" si="3"/>
        <v>2460.4371958356978</v>
      </c>
      <c r="Q19" s="15">
        <f>H19*M19</f>
        <v>144.25609811505876</v>
      </c>
      <c r="R19" s="12">
        <f t="shared" si="4"/>
        <v>17.056035952624001</v>
      </c>
      <c r="S19" s="39">
        <f t="shared" si="8"/>
        <v>571.83246952440686</v>
      </c>
      <c r="T19" s="40" t="s">
        <v>59</v>
      </c>
      <c r="U19" s="41"/>
      <c r="V19" s="41"/>
      <c r="W19" s="41"/>
      <c r="X19" s="41"/>
      <c r="Y19" s="38"/>
    </row>
    <row r="20" spans="1:29" x14ac:dyDescent="0.25">
      <c r="A20" s="3">
        <v>4</v>
      </c>
      <c r="B20" s="9">
        <v>1</v>
      </c>
      <c r="C20" s="9">
        <f t="shared" si="5"/>
        <v>1</v>
      </c>
      <c r="D20" s="9">
        <v>6</v>
      </c>
      <c r="E20" s="9">
        <v>1</v>
      </c>
      <c r="F20" s="9">
        <f t="shared" si="0"/>
        <v>1</v>
      </c>
      <c r="G20" s="10">
        <v>50</v>
      </c>
      <c r="H20" s="10">
        <v>30</v>
      </c>
      <c r="I20" s="11">
        <f>G20/H20-1</f>
        <v>0.66666666666666674</v>
      </c>
      <c r="J20" s="12">
        <f>$F$11/I20</f>
        <v>0.44999999999999996</v>
      </c>
      <c r="K20" s="13">
        <f t="shared" si="1"/>
        <v>13</v>
      </c>
      <c r="L20" s="14">
        <f t="shared" si="6"/>
        <v>0.99089204422468113</v>
      </c>
      <c r="M20" s="12">
        <f t="shared" si="7"/>
        <v>6.5049398338815418</v>
      </c>
      <c r="N20" s="12">
        <f t="shared" si="2"/>
        <v>0.79800906367157387</v>
      </c>
      <c r="O20" s="15">
        <f t="shared" si="3"/>
        <v>2576.3193149841709</v>
      </c>
      <c r="P20" s="15">
        <f t="shared" si="3"/>
        <v>1545.7915889905025</v>
      </c>
      <c r="Q20" s="15">
        <f>H20*M20</f>
        <v>195.14819501644627</v>
      </c>
      <c r="R20" s="12">
        <f t="shared" si="4"/>
        <v>7.9211165076890913</v>
      </c>
      <c r="S20" s="39">
        <f t="shared" si="8"/>
        <v>971.98326748873444</v>
      </c>
      <c r="T20" s="40" t="s">
        <v>59</v>
      </c>
      <c r="U20" s="41"/>
      <c r="V20" s="41"/>
      <c r="W20" s="41"/>
      <c r="X20" s="41"/>
      <c r="Y20" s="38"/>
    </row>
    <row r="21" spans="1:29" x14ac:dyDescent="0.25">
      <c r="A21" s="3">
        <v>5</v>
      </c>
      <c r="B21" s="9">
        <v>0.1</v>
      </c>
      <c r="C21" s="9">
        <f>SQRT(B21)</f>
        <v>0.31622776601683794</v>
      </c>
      <c r="D21" s="9">
        <v>8</v>
      </c>
      <c r="E21" s="9">
        <v>2</v>
      </c>
      <c r="F21" s="9">
        <f t="shared" si="0"/>
        <v>0.2</v>
      </c>
      <c r="G21" s="10">
        <v>250</v>
      </c>
      <c r="H21" s="10">
        <v>125</v>
      </c>
      <c r="I21" s="11">
        <f>G21/H21-1</f>
        <v>1</v>
      </c>
      <c r="J21" s="12">
        <f>$F$11/I21</f>
        <v>0.3</v>
      </c>
      <c r="K21" s="13">
        <f t="shared" si="1"/>
        <v>3</v>
      </c>
      <c r="L21" s="14">
        <f t="shared" si="6"/>
        <v>0.96769503394710932</v>
      </c>
      <c r="M21" s="12">
        <f t="shared" si="7"/>
        <v>2.104726883163456</v>
      </c>
      <c r="N21" s="12">
        <f t="shared" si="2"/>
        <v>1.08847155730425</v>
      </c>
      <c r="O21" s="15">
        <f t="shared" si="3"/>
        <v>1258.0035441312421</v>
      </c>
      <c r="P21" s="15">
        <f t="shared" si="3"/>
        <v>629.00177206562103</v>
      </c>
      <c r="Q21" s="15">
        <f>H21*M21</f>
        <v>263.090860395432</v>
      </c>
      <c r="R21" s="12">
        <f t="shared" si="4"/>
        <v>2.3908157475338214</v>
      </c>
      <c r="S21" s="39">
        <f t="shared" si="8"/>
        <v>550.07451394699137</v>
      </c>
      <c r="T21" s="40" t="s">
        <v>59</v>
      </c>
      <c r="U21" s="41"/>
      <c r="V21" s="41"/>
      <c r="W21" s="41"/>
      <c r="X21" s="41"/>
      <c r="Y21" s="38"/>
    </row>
    <row r="22" spans="1:29" x14ac:dyDescent="0.25">
      <c r="A22" s="34">
        <v>6</v>
      </c>
      <c r="B22" s="9">
        <v>0.05</v>
      </c>
      <c r="C22" s="9">
        <f t="shared" ref="C22:C23" si="9">SQRT(B22)</f>
        <v>0.22360679774997896</v>
      </c>
      <c r="D22" s="9">
        <v>12</v>
      </c>
      <c r="E22" s="9">
        <v>2</v>
      </c>
      <c r="F22" s="9">
        <f t="shared" si="0"/>
        <v>0.1</v>
      </c>
      <c r="G22" s="10">
        <v>300</v>
      </c>
      <c r="H22" s="10">
        <v>250</v>
      </c>
      <c r="I22" s="11">
        <f t="shared" ref="I22:I23" si="10">G22/H22-1</f>
        <v>0.19999999999999996</v>
      </c>
      <c r="J22" s="12">
        <f t="shared" ref="J22:J23" si="11">$F$11/I22</f>
        <v>1.5000000000000002</v>
      </c>
      <c r="K22" s="13">
        <f t="shared" si="1"/>
        <v>1</v>
      </c>
      <c r="L22" s="14">
        <f t="shared" si="6"/>
        <v>0.44320869562383813</v>
      </c>
      <c r="M22" s="12">
        <f t="shared" ref="M22:M23" si="12">GAUSSIAN_AVI(K22,B22,C22,D22,E22)</f>
        <v>0.52670881540403913</v>
      </c>
      <c r="N22" s="12">
        <f t="shared" si="2"/>
        <v>2.1878172054857585</v>
      </c>
      <c r="O22" s="15">
        <f t="shared" ref="O22:O23" si="13">G22*$F$10*$B22*$L22</f>
        <v>345.70278258659374</v>
      </c>
      <c r="P22" s="15">
        <f t="shared" ref="P22:P23" si="14">H22*$F$10*$B22*$L22</f>
        <v>288.08565215549481</v>
      </c>
      <c r="Q22" s="15">
        <f t="shared" ref="Q22:Q23" si="15">H22*M22</f>
        <v>131.67720385100978</v>
      </c>
      <c r="R22" s="12">
        <f t="shared" ref="R22:R23" si="16">P22/Q22</f>
        <v>2.187817205485759</v>
      </c>
      <c r="S22" s="39">
        <f t="shared" ref="S22:S23" si="17">(G22-H22)*$F$10*B22*L22-$F$11*Q22</f>
        <v>18.113969275796023</v>
      </c>
      <c r="T22" s="40" t="s">
        <v>59</v>
      </c>
      <c r="U22" s="33"/>
      <c r="V22" s="33"/>
      <c r="W22" s="33"/>
      <c r="X22" s="33"/>
      <c r="Y22" s="48" t="s">
        <v>65</v>
      </c>
      <c r="Z22" s="48"/>
      <c r="AA22" s="48"/>
      <c r="AB22" s="48"/>
      <c r="AC22" s="48"/>
    </row>
    <row r="23" spans="1:29" x14ac:dyDescent="0.25">
      <c r="A23" s="34">
        <v>7</v>
      </c>
      <c r="B23" s="35">
        <v>0.05</v>
      </c>
      <c r="C23" s="9">
        <f t="shared" si="9"/>
        <v>0.22360679774997896</v>
      </c>
      <c r="D23" s="35">
        <v>12</v>
      </c>
      <c r="E23" s="35">
        <v>2</v>
      </c>
      <c r="F23" s="35">
        <f t="shared" si="0"/>
        <v>0.1</v>
      </c>
      <c r="G23" s="36">
        <v>300</v>
      </c>
      <c r="H23" s="36">
        <v>275</v>
      </c>
      <c r="I23" s="37">
        <f t="shared" si="10"/>
        <v>9.0909090909090828E-2</v>
      </c>
      <c r="J23" s="12">
        <f t="shared" si="11"/>
        <v>3.3000000000000029</v>
      </c>
      <c r="K23" s="13">
        <f t="shared" si="1"/>
        <v>0</v>
      </c>
      <c r="L23" s="14">
        <f t="shared" si="6"/>
        <v>0</v>
      </c>
      <c r="M23" s="12">
        <f t="shared" si="12"/>
        <v>0</v>
      </c>
      <c r="N23" s="12">
        <f t="shared" si="2"/>
        <v>-4.3651074919613881</v>
      </c>
      <c r="O23" s="15">
        <f t="shared" si="13"/>
        <v>0</v>
      </c>
      <c r="P23" s="15">
        <f t="shared" si="14"/>
        <v>0</v>
      </c>
      <c r="Q23" s="15">
        <f t="shared" si="15"/>
        <v>0</v>
      </c>
      <c r="R23" s="12" t="e">
        <f t="shared" si="16"/>
        <v>#DIV/0!</v>
      </c>
      <c r="S23" s="39">
        <f t="shared" si="17"/>
        <v>0</v>
      </c>
      <c r="T23" s="40" t="s">
        <v>59</v>
      </c>
      <c r="U23" s="33"/>
      <c r="V23" s="33"/>
      <c r="W23" s="33"/>
      <c r="X23" s="33"/>
      <c r="Y23" s="48" t="s">
        <v>66</v>
      </c>
      <c r="Z23" s="48"/>
      <c r="AA23" s="48"/>
      <c r="AB23" s="48"/>
      <c r="AC23" s="48"/>
    </row>
    <row r="24" spans="1:29" x14ac:dyDescent="0.25">
      <c r="A24" s="25" t="s">
        <v>40</v>
      </c>
      <c r="B24" s="26"/>
      <c r="C24" s="26"/>
      <c r="D24" s="26"/>
      <c r="E24" s="26"/>
      <c r="F24" s="26"/>
      <c r="G24" s="27"/>
      <c r="H24" s="27"/>
      <c r="I24" s="28"/>
      <c r="J24" s="29"/>
      <c r="K24" s="26"/>
      <c r="L24" s="28"/>
      <c r="M24" s="29"/>
      <c r="N24" s="30"/>
      <c r="O24" s="16">
        <f>SUM(O17:O23)</f>
        <v>13057.075094809681</v>
      </c>
      <c r="P24" s="16">
        <f t="shared" ref="P24:S24" si="18">SUM(P17:P23)</f>
        <v>9813.2177280418018</v>
      </c>
      <c r="Q24" s="16">
        <f t="shared" si="18"/>
        <v>825.01029444291112</v>
      </c>
      <c r="R24" s="23">
        <f t="shared" ref="R24" si="19">P24/Q24</f>
        <v>11.89466094440456</v>
      </c>
      <c r="S24" s="16">
        <f t="shared" si="18"/>
        <v>2996.3542784350043</v>
      </c>
      <c r="T24" s="24"/>
      <c r="U24" s="24"/>
      <c r="V24" s="24"/>
      <c r="W24" s="24"/>
      <c r="X24" s="24"/>
      <c r="Y24" s="24"/>
    </row>
    <row r="26" spans="1:29" x14ac:dyDescent="0.25">
      <c r="A26" s="18"/>
      <c r="B26" t="s">
        <v>41</v>
      </c>
    </row>
    <row r="27" spans="1:29" x14ac:dyDescent="0.25">
      <c r="A27" s="17"/>
      <c r="B27" t="s">
        <v>42</v>
      </c>
    </row>
    <row r="28" spans="1:29" x14ac:dyDescent="0.25">
      <c r="M28" s="22"/>
      <c r="R28" s="44"/>
    </row>
    <row r="30" spans="1:29" x14ac:dyDescent="0.25">
      <c r="A30" t="s">
        <v>33</v>
      </c>
    </row>
    <row r="31" spans="1:29" x14ac:dyDescent="0.25">
      <c r="A31" t="s">
        <v>45</v>
      </c>
      <c r="R31" s="45"/>
    </row>
    <row r="32" spans="1:29" x14ac:dyDescent="0.25">
      <c r="A32" t="s">
        <v>68</v>
      </c>
    </row>
    <row r="33" spans="1:1" x14ac:dyDescent="0.25">
      <c r="A33" t="s">
        <v>48</v>
      </c>
    </row>
    <row r="34" spans="1:1" x14ac:dyDescent="0.25">
      <c r="A34" t="s">
        <v>58</v>
      </c>
    </row>
    <row r="35" spans="1:1" x14ac:dyDescent="0.25">
      <c r="A35" t="s">
        <v>49</v>
      </c>
    </row>
    <row r="36" spans="1:1" x14ac:dyDescent="0.25">
      <c r="A36" t="s">
        <v>53</v>
      </c>
    </row>
    <row r="37" spans="1:1" x14ac:dyDescent="0.25">
      <c r="A37" t="s">
        <v>50</v>
      </c>
    </row>
    <row r="38" spans="1:1" x14ac:dyDescent="0.25">
      <c r="A38" t="s">
        <v>57</v>
      </c>
    </row>
    <row r="39" spans="1:1" x14ac:dyDescent="0.25">
      <c r="A39" t="s">
        <v>51</v>
      </c>
    </row>
    <row r="40" spans="1:1" x14ac:dyDescent="0.25">
      <c r="A40" t="s">
        <v>38</v>
      </c>
    </row>
    <row r="41" spans="1:1" x14ac:dyDescent="0.25">
      <c r="A41" t="s">
        <v>37</v>
      </c>
    </row>
    <row r="42" spans="1:1" x14ac:dyDescent="0.25">
      <c r="A42" t="s">
        <v>44</v>
      </c>
    </row>
    <row r="43" spans="1:1" x14ac:dyDescent="0.25">
      <c r="A43" t="s">
        <v>52</v>
      </c>
    </row>
    <row r="44" spans="1:1" x14ac:dyDescent="0.25">
      <c r="A44" t="s">
        <v>55</v>
      </c>
    </row>
  </sheetData>
  <mergeCells count="4">
    <mergeCell ref="A1:R1"/>
    <mergeCell ref="A3:R3"/>
    <mergeCell ref="Y22:AC22"/>
    <mergeCell ref="Y23:AC23"/>
  </mergeCells>
  <pageMargins left="0" right="0" top="0.75" bottom="0.75" header="0.3" footer="0.3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47C94-A528-4959-8C6F-350FE0619E74}">
  <sheetPr codeName="Sheet2">
    <pageSetUpPr fitToPage="1"/>
  </sheetPr>
  <dimension ref="A1:AB39"/>
  <sheetViews>
    <sheetView workbookViewId="0">
      <selection sqref="A1:R1"/>
    </sheetView>
  </sheetViews>
  <sheetFormatPr defaultRowHeight="15" x14ac:dyDescent="0.25"/>
  <cols>
    <col min="1" max="1" width="5.140625" customWidth="1"/>
    <col min="2" max="2" width="8.42578125" customWidth="1"/>
    <col min="3" max="3" width="11.140625" customWidth="1"/>
    <col min="4" max="4" width="8.42578125" customWidth="1"/>
    <col min="5" max="5" width="7.5703125" customWidth="1"/>
    <col min="7" max="8" width="7.5703125" customWidth="1"/>
    <col min="9" max="9" width="8.140625" customWidth="1"/>
    <col min="10" max="10" width="9.5703125" bestFit="1" customWidth="1"/>
    <col min="11" max="11" width="8.140625" customWidth="1"/>
    <col min="12" max="12" width="8.42578125" customWidth="1"/>
    <col min="13" max="13" width="9.5703125" customWidth="1"/>
    <col min="14" max="14" width="9" customWidth="1"/>
    <col min="15" max="15" width="10.140625" customWidth="1"/>
    <col min="16" max="16" width="11.28515625" customWidth="1"/>
    <col min="17" max="17" width="9.7109375" customWidth="1"/>
    <col min="18" max="19" width="9" customWidth="1"/>
  </cols>
  <sheetData>
    <row r="1" spans="1:19" ht="23.25" x14ac:dyDescent="0.35">
      <c r="A1" s="46" t="s">
        <v>54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31"/>
    </row>
    <row r="2" spans="1:19" x14ac:dyDescent="0.25">
      <c r="A2" s="1"/>
    </row>
    <row r="3" spans="1:19" ht="18.75" x14ac:dyDescent="0.3">
      <c r="A3" s="47" t="s">
        <v>70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32"/>
    </row>
    <row r="5" spans="1:19" ht="15.75" x14ac:dyDescent="0.25">
      <c r="A5" s="21" t="s">
        <v>0</v>
      </c>
    </row>
    <row r="6" spans="1:19" x14ac:dyDescent="0.25">
      <c r="A6" t="s">
        <v>28</v>
      </c>
    </row>
    <row r="7" spans="1:19" x14ac:dyDescent="0.25">
      <c r="A7" t="s">
        <v>69</v>
      </c>
    </row>
    <row r="9" spans="1:19" ht="15.75" x14ac:dyDescent="0.25">
      <c r="A9" s="21" t="s">
        <v>43</v>
      </c>
    </row>
    <row r="10" spans="1:19" x14ac:dyDescent="0.25">
      <c r="A10" s="6" t="s">
        <v>7</v>
      </c>
      <c r="B10" s="7"/>
      <c r="C10" s="7"/>
      <c r="D10" s="7"/>
      <c r="E10" s="8"/>
      <c r="F10" s="19">
        <v>52</v>
      </c>
      <c r="G10" t="s">
        <v>8</v>
      </c>
    </row>
    <row r="11" spans="1:19" x14ac:dyDescent="0.25">
      <c r="A11" s="6" t="s">
        <v>2</v>
      </c>
      <c r="B11" s="7"/>
      <c r="C11" s="7"/>
      <c r="D11" s="7"/>
      <c r="E11" s="8"/>
      <c r="F11" s="20">
        <v>0.3</v>
      </c>
      <c r="G11" t="s">
        <v>39</v>
      </c>
    </row>
    <row r="14" spans="1:19" x14ac:dyDescent="0.25">
      <c r="A14" s="2"/>
      <c r="B14" s="2" t="s">
        <v>3</v>
      </c>
      <c r="C14" s="2" t="s">
        <v>4</v>
      </c>
      <c r="D14" s="2" t="s">
        <v>10</v>
      </c>
      <c r="E14" s="2"/>
      <c r="F14" s="5" t="s">
        <v>34</v>
      </c>
      <c r="G14" s="2" t="s">
        <v>13</v>
      </c>
      <c r="H14" s="2"/>
      <c r="I14" s="2"/>
      <c r="J14" s="2" t="s">
        <v>24</v>
      </c>
      <c r="K14" s="2"/>
      <c r="L14" s="2"/>
      <c r="M14" s="2" t="s">
        <v>31</v>
      </c>
      <c r="N14" s="2" t="s">
        <v>24</v>
      </c>
      <c r="O14" s="2" t="s">
        <v>31</v>
      </c>
      <c r="P14" s="2" t="s">
        <v>31</v>
      </c>
      <c r="Q14" s="2"/>
      <c r="R14" s="2" t="s">
        <v>31</v>
      </c>
      <c r="S14" s="2" t="s">
        <v>31</v>
      </c>
    </row>
    <row r="15" spans="1:19" x14ac:dyDescent="0.25">
      <c r="A15" s="3"/>
      <c r="B15" s="3" t="s">
        <v>4</v>
      </c>
      <c r="C15" s="3" t="s">
        <v>46</v>
      </c>
      <c r="D15" s="3" t="s">
        <v>11</v>
      </c>
      <c r="E15" s="3" t="s">
        <v>6</v>
      </c>
      <c r="F15" s="3" t="s">
        <v>35</v>
      </c>
      <c r="G15" s="3" t="s">
        <v>16</v>
      </c>
      <c r="H15" s="3" t="s">
        <v>13</v>
      </c>
      <c r="I15" s="3" t="s">
        <v>17</v>
      </c>
      <c r="J15" s="3" t="s">
        <v>23</v>
      </c>
      <c r="K15" s="3" t="s">
        <v>26</v>
      </c>
      <c r="L15" s="3" t="s">
        <v>29</v>
      </c>
      <c r="M15" s="3" t="s">
        <v>32</v>
      </c>
      <c r="N15" s="3" t="s">
        <v>23</v>
      </c>
      <c r="O15" s="3" t="s">
        <v>18</v>
      </c>
      <c r="P15" s="3" t="s">
        <v>18</v>
      </c>
      <c r="Q15" s="3" t="s">
        <v>21</v>
      </c>
      <c r="R15" s="3" t="s">
        <v>23</v>
      </c>
      <c r="S15" s="3" t="s">
        <v>18</v>
      </c>
    </row>
    <row r="16" spans="1:19" x14ac:dyDescent="0.25">
      <c r="A16" s="4" t="s">
        <v>1</v>
      </c>
      <c r="B16" s="4" t="s">
        <v>5</v>
      </c>
      <c r="C16" s="4" t="s">
        <v>47</v>
      </c>
      <c r="D16" s="4" t="s">
        <v>12</v>
      </c>
      <c r="E16" s="4" t="s">
        <v>9</v>
      </c>
      <c r="F16" s="4" t="s">
        <v>36</v>
      </c>
      <c r="G16" s="4" t="s">
        <v>14</v>
      </c>
      <c r="H16" s="4" t="s">
        <v>15</v>
      </c>
      <c r="I16" s="4" t="s">
        <v>5</v>
      </c>
      <c r="J16" s="4" t="s">
        <v>25</v>
      </c>
      <c r="K16" s="4" t="s">
        <v>27</v>
      </c>
      <c r="L16" s="4" t="s">
        <v>30</v>
      </c>
      <c r="M16" s="4" t="s">
        <v>22</v>
      </c>
      <c r="N16" s="4" t="s">
        <v>5</v>
      </c>
      <c r="O16" s="4" t="s">
        <v>19</v>
      </c>
      <c r="P16" s="4" t="s">
        <v>20</v>
      </c>
      <c r="Q16" s="4" t="s">
        <v>22</v>
      </c>
      <c r="R16" s="4" t="s">
        <v>5</v>
      </c>
      <c r="S16" s="4" t="s">
        <v>64</v>
      </c>
    </row>
    <row r="17" spans="1:28" x14ac:dyDescent="0.25">
      <c r="A17" s="3" t="s">
        <v>60</v>
      </c>
      <c r="B17" s="9">
        <v>64</v>
      </c>
      <c r="C17" s="9">
        <f>SQRT(B17*5/2)</f>
        <v>12.649110640673518</v>
      </c>
      <c r="D17" s="9">
        <v>3</v>
      </c>
      <c r="E17" s="9">
        <v>0.5</v>
      </c>
      <c r="F17" s="9">
        <f>B17*E17</f>
        <v>32</v>
      </c>
      <c r="G17" s="10">
        <v>1</v>
      </c>
      <c r="H17" s="10">
        <v>0.85</v>
      </c>
      <c r="I17" s="11">
        <f>G17/H17-1</f>
        <v>0.17647058823529416</v>
      </c>
      <c r="J17" s="12">
        <f>$F$11/I17</f>
        <v>1.6999999999999995</v>
      </c>
      <c r="K17" s="13">
        <f t="shared" ref="K17:K19" si="0">GAUSSIAN_OUTL($F$10,B17,C17,D17,E17,J17)</f>
        <v>275</v>
      </c>
      <c r="L17" s="14">
        <f>GAUSSIAN_SVL(K17,B17,C17,D17,E17)</f>
        <v>0.99590976943052867</v>
      </c>
      <c r="M17" s="12">
        <f>GAUSSIAN_AVI(K17,B17,C17,D17,E17)</f>
        <v>67.027254447258983</v>
      </c>
      <c r="N17" s="12">
        <f>$F$10*B17*(L17-GAUSSIAN_SVL(K17-1,B17,C17,D17,E17))/(M17-GAUSSIAN_AVI(K17-1,B17,C17,D17,E17))</f>
        <v>1.7062480274793927</v>
      </c>
      <c r="O17" s="15">
        <f t="shared" ref="O17:P19" si="1">G17*$F$10*$B17*$L17</f>
        <v>3314.3877126647994</v>
      </c>
      <c r="P17" s="15">
        <f t="shared" si="1"/>
        <v>2817.2295557650791</v>
      </c>
      <c r="Q17" s="15">
        <f>H17*M17</f>
        <v>56.973166280170133</v>
      </c>
      <c r="R17" s="12">
        <f t="shared" ref="R17:R20" si="2">P17/Q17</f>
        <v>49.448358581847565</v>
      </c>
      <c r="S17" s="42">
        <f>(G17-H17)*$F$10*B17*L17-$F$11*Q17</f>
        <v>480.06620701566897</v>
      </c>
      <c r="T17" s="40" t="s">
        <v>63</v>
      </c>
      <c r="U17" s="41"/>
      <c r="V17" s="41"/>
      <c r="W17" s="41"/>
      <c r="X17" s="41"/>
      <c r="Y17" s="41"/>
      <c r="Z17" s="41"/>
      <c r="AA17" s="41"/>
      <c r="AB17" s="41"/>
    </row>
    <row r="18" spans="1:28" x14ac:dyDescent="0.25">
      <c r="A18" s="3" t="s">
        <v>61</v>
      </c>
      <c r="B18" s="9">
        <v>16</v>
      </c>
      <c r="C18" s="9">
        <f t="shared" ref="C18:C19" si="3">SQRT(B18*5/2)</f>
        <v>6.324555320336759</v>
      </c>
      <c r="D18" s="9">
        <v>3</v>
      </c>
      <c r="E18" s="9">
        <v>0.5</v>
      </c>
      <c r="F18" s="9">
        <f>B18*E18</f>
        <v>8</v>
      </c>
      <c r="G18" s="10">
        <v>3</v>
      </c>
      <c r="H18" s="10">
        <v>2.5</v>
      </c>
      <c r="I18" s="11">
        <f>G18/H18-1</f>
        <v>0.19999999999999996</v>
      </c>
      <c r="J18" s="12">
        <f>$F$11/I18</f>
        <v>1.5000000000000002</v>
      </c>
      <c r="K18" s="13">
        <f t="shared" si="0"/>
        <v>82</v>
      </c>
      <c r="L18" s="14">
        <f t="shared" ref="L18:L19" si="4">GAUSSIAN_SVL(K18,B18,C18,D18,E18)</f>
        <v>0.99307939057953387</v>
      </c>
      <c r="M18" s="12">
        <f t="shared" ref="M18:M19" si="5">GAUSSIAN_AVI(K18,B18,C18,D18,E18)</f>
        <v>30.020671054668696</v>
      </c>
      <c r="N18" s="12">
        <f>$F$10*B18*(L18-GAUSSIAN_SVL(K18-1,B18,C18,D18,E18))/(M18-GAUSSIAN_AVI(K18-1,B18,C18,D18,E18))</f>
        <v>1.5154726671106915</v>
      </c>
      <c r="O18" s="15">
        <f t="shared" si="1"/>
        <v>2478.7261588865167</v>
      </c>
      <c r="P18" s="15">
        <f t="shared" si="1"/>
        <v>2065.6051324054306</v>
      </c>
      <c r="Q18" s="15">
        <f>H18*M18</f>
        <v>75.051677636671741</v>
      </c>
      <c r="R18" s="12">
        <f t="shared" si="2"/>
        <v>27.522437838166791</v>
      </c>
      <c r="S18" s="15">
        <f t="shared" ref="S18:S19" si="6">(G18-H18)*$F$10*B18*L18-$F$11*Q18</f>
        <v>390.60552319008457</v>
      </c>
      <c r="T18" s="40" t="s">
        <v>63</v>
      </c>
      <c r="U18" s="41"/>
      <c r="V18" s="41"/>
      <c r="W18" s="41"/>
      <c r="X18" s="41"/>
      <c r="Y18" s="41"/>
      <c r="Z18" s="41"/>
      <c r="AA18" s="41"/>
      <c r="AB18" s="41"/>
    </row>
    <row r="19" spans="1:28" x14ac:dyDescent="0.25">
      <c r="A19" s="3" t="s">
        <v>62</v>
      </c>
      <c r="B19" s="9">
        <v>4</v>
      </c>
      <c r="C19" s="9">
        <f t="shared" si="3"/>
        <v>3.1622776601683795</v>
      </c>
      <c r="D19" s="9">
        <v>6</v>
      </c>
      <c r="E19" s="9">
        <v>1</v>
      </c>
      <c r="F19" s="9">
        <f>B19*E19</f>
        <v>4</v>
      </c>
      <c r="G19" s="10">
        <v>15</v>
      </c>
      <c r="H19" s="10">
        <v>12</v>
      </c>
      <c r="I19" s="11">
        <f>G19/H19-1</f>
        <v>0.25</v>
      </c>
      <c r="J19" s="12">
        <f>$F$11/I19</f>
        <v>1.2</v>
      </c>
      <c r="K19" s="13">
        <f t="shared" si="0"/>
        <v>44</v>
      </c>
      <c r="L19" s="14">
        <f t="shared" si="4"/>
        <v>0.98061220487129253</v>
      </c>
      <c r="M19" s="12">
        <f t="shared" si="5"/>
        <v>18.043067731225076</v>
      </c>
      <c r="N19" s="12">
        <f>$F$10*B19*(L19-GAUSSIAN_SVL(K19-1,B19,C19,D19,E19))/(M19-GAUSSIAN_AVI(K19-1,B19,C19,D19,E19))</f>
        <v>1.3809399493544885</v>
      </c>
      <c r="O19" s="15">
        <f t="shared" si="1"/>
        <v>3059.5100791984328</v>
      </c>
      <c r="P19" s="15">
        <f t="shared" si="1"/>
        <v>2447.6080633587462</v>
      </c>
      <c r="Q19" s="15">
        <f>H19*M19</f>
        <v>216.5168127747009</v>
      </c>
      <c r="R19" s="12">
        <f t="shared" si="2"/>
        <v>11.304471149340413</v>
      </c>
      <c r="S19" s="43">
        <f t="shared" si="6"/>
        <v>546.94697200727626</v>
      </c>
      <c r="T19" s="40" t="s">
        <v>63</v>
      </c>
      <c r="U19" s="41"/>
      <c r="V19" s="41"/>
      <c r="W19" s="41"/>
      <c r="X19" s="41"/>
      <c r="Y19" s="41"/>
      <c r="Z19" s="41"/>
      <c r="AA19" s="41"/>
      <c r="AB19" s="41"/>
    </row>
    <row r="20" spans="1:28" x14ac:dyDescent="0.25">
      <c r="A20" s="6" t="s">
        <v>40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8"/>
      <c r="O20" s="16">
        <f>SUM(O17:O19)</f>
        <v>8852.6239507497485</v>
      </c>
      <c r="P20" s="16">
        <f>SUM(P17:P19)</f>
        <v>7330.4427515292555</v>
      </c>
      <c r="Q20" s="16">
        <f>SUM(Q17:Q19)</f>
        <v>348.54165669154276</v>
      </c>
      <c r="R20" s="23">
        <f t="shared" si="2"/>
        <v>21.031755059386352</v>
      </c>
      <c r="S20" s="16">
        <f>SUM(S17:S19)</f>
        <v>1417.6187022130298</v>
      </c>
    </row>
    <row r="22" spans="1:28" x14ac:dyDescent="0.25">
      <c r="A22" s="18"/>
      <c r="B22" t="s">
        <v>41</v>
      </c>
    </row>
    <row r="23" spans="1:28" x14ac:dyDescent="0.25">
      <c r="A23" s="17"/>
      <c r="B23" t="s">
        <v>42</v>
      </c>
    </row>
    <row r="24" spans="1:28" x14ac:dyDescent="0.25">
      <c r="M24" s="22"/>
    </row>
    <row r="26" spans="1:28" x14ac:dyDescent="0.25">
      <c r="A26" t="s">
        <v>33</v>
      </c>
    </row>
    <row r="27" spans="1:28" x14ac:dyDescent="0.25">
      <c r="A27" t="s">
        <v>45</v>
      </c>
    </row>
    <row r="28" spans="1:28" x14ac:dyDescent="0.25">
      <c r="A28" t="s">
        <v>67</v>
      </c>
    </row>
    <row r="29" spans="1:28" x14ac:dyDescent="0.25">
      <c r="A29" t="s">
        <v>48</v>
      </c>
    </row>
    <row r="30" spans="1:28" x14ac:dyDescent="0.25">
      <c r="A30" t="s">
        <v>58</v>
      </c>
    </row>
    <row r="31" spans="1:28" x14ac:dyDescent="0.25">
      <c r="A31" t="s">
        <v>49</v>
      </c>
    </row>
    <row r="32" spans="1:28" x14ac:dyDescent="0.25">
      <c r="A32" t="s">
        <v>53</v>
      </c>
    </row>
    <row r="33" spans="1:1" x14ac:dyDescent="0.25">
      <c r="A33" t="s">
        <v>50</v>
      </c>
    </row>
    <row r="34" spans="1:1" x14ac:dyDescent="0.25">
      <c r="A34" t="s">
        <v>56</v>
      </c>
    </row>
    <row r="35" spans="1:1" x14ac:dyDescent="0.25">
      <c r="A35" t="s">
        <v>38</v>
      </c>
    </row>
    <row r="36" spans="1:1" x14ac:dyDescent="0.25">
      <c r="A36" t="s">
        <v>37</v>
      </c>
    </row>
    <row r="37" spans="1:1" x14ac:dyDescent="0.25">
      <c r="A37" t="s">
        <v>44</v>
      </c>
    </row>
    <row r="38" spans="1:1" x14ac:dyDescent="0.25">
      <c r="A38" t="s">
        <v>52</v>
      </c>
    </row>
    <row r="39" spans="1:1" x14ac:dyDescent="0.25">
      <c r="A39" t="s">
        <v>55</v>
      </c>
    </row>
  </sheetData>
  <mergeCells count="2">
    <mergeCell ref="A1:R1"/>
    <mergeCell ref="A3:R3"/>
  </mergeCells>
  <pageMargins left="0" right="0" top="0.75" bottom="0.75" header="0.3" footer="0.3"/>
  <pageSetup scale="5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POISSON</vt:lpstr>
      <vt:lpstr>COMPOUND_POISSON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Agnew</dc:creator>
  <cp:lastModifiedBy>ROBERT AGNEW</cp:lastModifiedBy>
  <cp:lastPrinted>2021-07-09T01:33:59Z</cp:lastPrinted>
  <dcterms:created xsi:type="dcterms:W3CDTF">2010-05-16T01:44:22Z</dcterms:created>
  <dcterms:modified xsi:type="dcterms:W3CDTF">2024-06-19T19:47:56Z</dcterms:modified>
</cp:coreProperties>
</file>