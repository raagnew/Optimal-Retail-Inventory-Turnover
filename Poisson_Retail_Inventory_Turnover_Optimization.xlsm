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TAIL\"/>
    </mc:Choice>
  </mc:AlternateContent>
  <xr:revisionPtr revIDLastSave="0" documentId="13_ncr:1_{987085D8-1B0D-4D75-AC95-8F6BF0637E5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ISSON" sheetId="1" r:id="rId1"/>
    <sheet name="COMPOUND_POISS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2" l="1"/>
  <c r="F19" i="2"/>
  <c r="C19" i="2"/>
  <c r="G19" i="2" s="1"/>
  <c r="J18" i="2"/>
  <c r="F18" i="2"/>
  <c r="C18" i="2"/>
  <c r="G18" i="2" s="1"/>
  <c r="J17" i="2"/>
  <c r="F17" i="2"/>
  <c r="C17" i="2"/>
  <c r="G17" i="2" s="1"/>
  <c r="L19" i="2"/>
  <c r="L18" i="2"/>
  <c r="K19" i="2" l="1"/>
  <c r="K18" i="2"/>
  <c r="K17" i="2"/>
  <c r="I22" i="1"/>
  <c r="H23" i="1"/>
  <c r="I23" i="1" s="1"/>
  <c r="E23" i="1"/>
  <c r="H22" i="1"/>
  <c r="E22" i="1"/>
  <c r="M19" i="2"/>
  <c r="N18" i="2"/>
  <c r="M18" i="2"/>
  <c r="N19" i="2"/>
  <c r="L17" i="2"/>
  <c r="J22" i="1"/>
  <c r="L22" i="1" s="1"/>
  <c r="K22" i="1"/>
  <c r="J23" i="1"/>
  <c r="K23" i="1"/>
  <c r="L23" i="1"/>
  <c r="R22" i="1" l="1"/>
  <c r="R18" i="2"/>
  <c r="R19" i="2"/>
  <c r="P23" i="1"/>
  <c r="R23" i="1" s="1"/>
  <c r="N23" i="1"/>
  <c r="O23" i="1"/>
  <c r="Q23" i="1" s="1"/>
  <c r="P22" i="1"/>
  <c r="N22" i="1"/>
  <c r="O22" i="1"/>
  <c r="Q22" i="1" s="1"/>
  <c r="E18" i="1"/>
  <c r="E19" i="1"/>
  <c r="E20" i="1"/>
  <c r="E21" i="1"/>
  <c r="E17" i="1"/>
  <c r="H21" i="1"/>
  <c r="I21" i="1"/>
  <c r="H18" i="1"/>
  <c r="I18" i="1" s="1"/>
  <c r="H19" i="1"/>
  <c r="I19" i="1"/>
  <c r="H20" i="1"/>
  <c r="I20" i="1" s="1"/>
  <c r="H17" i="1"/>
  <c r="I17" i="1" s="1"/>
  <c r="M17" i="2"/>
  <c r="M23" i="1"/>
  <c r="M22" i="1"/>
  <c r="J19" i="1"/>
  <c r="J20" i="1"/>
  <c r="K20" i="1" s="1"/>
  <c r="J18" i="1"/>
  <c r="L18" i="1"/>
  <c r="O19" i="2"/>
  <c r="J17" i="1"/>
  <c r="O18" i="2"/>
  <c r="L19" i="1"/>
  <c r="K18" i="1"/>
  <c r="J21" i="1"/>
  <c r="K19" i="1"/>
  <c r="N17" i="2"/>
  <c r="L20" i="1"/>
  <c r="K17" i="1"/>
  <c r="L17" i="1"/>
  <c r="K21" i="1"/>
  <c r="L21" i="1"/>
  <c r="R17" i="2" l="1"/>
  <c r="T17" i="2"/>
  <c r="Q17" i="2"/>
  <c r="S17" i="2" s="1"/>
  <c r="P17" i="2"/>
  <c r="Q19" i="2"/>
  <c r="S19" i="2" s="1"/>
  <c r="T19" i="2"/>
  <c r="P19" i="2"/>
  <c r="T18" i="2"/>
  <c r="Q18" i="2"/>
  <c r="S18" i="2" s="1"/>
  <c r="P18" i="2"/>
  <c r="R20" i="2"/>
  <c r="P19" i="1"/>
  <c r="R19" i="1" s="1"/>
  <c r="N19" i="1"/>
  <c r="P18" i="1"/>
  <c r="R18" i="1" s="1"/>
  <c r="N18" i="1"/>
  <c r="N20" i="1"/>
  <c r="O20" i="1"/>
  <c r="P20" i="1"/>
  <c r="R20" i="1" s="1"/>
  <c r="P17" i="1"/>
  <c r="P21" i="1"/>
  <c r="R21" i="1" s="1"/>
  <c r="O21" i="1"/>
  <c r="N21" i="1"/>
  <c r="O17" i="1"/>
  <c r="N17" i="1"/>
  <c r="N24" i="1" s="1"/>
  <c r="O18" i="1"/>
  <c r="O19" i="1"/>
  <c r="M20" i="1"/>
  <c r="O17" i="2"/>
  <c r="M18" i="1"/>
  <c r="M17" i="1"/>
  <c r="M21" i="1"/>
  <c r="M19" i="1"/>
  <c r="O24" i="1" l="1"/>
  <c r="T20" i="2"/>
  <c r="P20" i="2"/>
  <c r="Q20" i="2"/>
  <c r="S20" i="2" s="1"/>
  <c r="P24" i="1"/>
  <c r="R17" i="1"/>
  <c r="R24" i="1" s="1"/>
  <c r="Q19" i="1"/>
  <c r="Q17" i="1"/>
  <c r="Q18" i="1"/>
  <c r="Q21" i="1"/>
  <c r="Q20" i="1"/>
  <c r="Q24" i="1" l="1"/>
</calcChain>
</file>

<file path=xl/sharedStrings.xml><?xml version="1.0" encoding="utf-8"?>
<sst xmlns="http://schemas.openxmlformats.org/spreadsheetml/2006/main" count="157" uniqueCount="66">
  <si>
    <t>Reference</t>
  </si>
  <si>
    <t>Item</t>
  </si>
  <si>
    <t>Inventory Carrying Cost Rate</t>
  </si>
  <si>
    <t>Mean</t>
  </si>
  <si>
    <t>Demand</t>
  </si>
  <si>
    <t>Rate</t>
  </si>
  <si>
    <t>Review</t>
  </si>
  <si>
    <t>Time Units per Year</t>
  </si>
  <si>
    <t>(assumed weeks)</t>
  </si>
  <si>
    <t>Period</t>
  </si>
  <si>
    <t>Delivery</t>
  </si>
  <si>
    <t>Lead</t>
  </si>
  <si>
    <t>Time</t>
  </si>
  <si>
    <t>$ Unit</t>
  </si>
  <si>
    <t>Price</t>
  </si>
  <si>
    <t>Cost</t>
  </si>
  <si>
    <t>Selling</t>
  </si>
  <si>
    <t>Markup</t>
  </si>
  <si>
    <t>Annual $</t>
  </si>
  <si>
    <t>Sales</t>
  </si>
  <si>
    <t>Throughput</t>
  </si>
  <si>
    <t>Average $</t>
  </si>
  <si>
    <t>Inventory</t>
  </si>
  <si>
    <t>Turnover</t>
  </si>
  <si>
    <t>Marginal</t>
  </si>
  <si>
    <t>Minimum</t>
  </si>
  <si>
    <t>Optimal</t>
  </si>
  <si>
    <t>OUTL</t>
  </si>
  <si>
    <t>R. A. Agnew, Inequalities with Application in Retail Inventory Analysis, Journal of Applied Probability, Vol 12, pp 852-858, 1975.</t>
  </si>
  <si>
    <t>Service</t>
  </si>
  <si>
    <t>Level</t>
  </si>
  <si>
    <t>Average</t>
  </si>
  <si>
    <t>Unit</t>
  </si>
  <si>
    <t>OUTL  =  Order-Up-To-Level</t>
  </si>
  <si>
    <t>Expected</t>
  </si>
  <si>
    <t>Order</t>
  </si>
  <si>
    <t>Quantity</t>
  </si>
  <si>
    <t>Can encompass a large number of items within Excel</t>
  </si>
  <si>
    <t>Review periods can be adjusted to allow for order quantity minimums (by item or across items)</t>
  </si>
  <si>
    <t>(allows for annual cost of capital, spoilage, and obsolescence)</t>
  </si>
  <si>
    <t>Total</t>
  </si>
  <si>
    <t>Inputs</t>
  </si>
  <si>
    <t>Outputs</t>
  </si>
  <si>
    <t>Inputs &amp; Outputs</t>
  </si>
  <si>
    <t>Can be utilized as an assortment planning tool for staple (limited seasonality) items, everything from shock absorbers to underwear in retail or service parts in wholesale</t>
  </si>
  <si>
    <t>Policy at a review is to order the positive difference between OUTL and Inventory Position (On Hand + On Order), else zero</t>
  </si>
  <si>
    <t>PERIODIC REVIEW STOCHASTIC INVENTORY MODEL  -  POISSON DEMAND</t>
  </si>
  <si>
    <t>Calculations can be easily reproduced in an open-source analytical language like Python or R</t>
  </si>
  <si>
    <t>Simple macro functions are POISSON_OUTL, POISSON_SVL, and POISSON_AVI (Click Alt-F11 to view Visual Basic codes)</t>
  </si>
  <si>
    <t>Profit</t>
  </si>
  <si>
    <t>One-at-a-Time Poisson Demand</t>
  </si>
  <si>
    <t>Order one unit when inventory position is zero</t>
  </si>
  <si>
    <t>Don't stock</t>
  </si>
  <si>
    <t>Can be productionalized for inventory management with simple SKU-level demand forecasting/smoothing tools</t>
  </si>
  <si>
    <t>For items 1-7, demand is assumed to follow a Poisson Process (one-at-a time random, independent demands)</t>
  </si>
  <si>
    <t>1A</t>
  </si>
  <si>
    <t>2A</t>
  </si>
  <si>
    <t>3A</t>
  </si>
  <si>
    <t>Standard</t>
  </si>
  <si>
    <t>Deviation</t>
  </si>
  <si>
    <t>Transaction</t>
  </si>
  <si>
    <t>Poisson Approximation to Compound Poisson Demand when Partial Fills are Not Allowed</t>
  </si>
  <si>
    <t>For items 1A-3A, demand is assumed to follow a Compound Poisson Process with random transaction quantities (1,2,3,4 with probability .4,.3.,2,.1) and we employ a conservative estimate for average transaction quantity</t>
  </si>
  <si>
    <t>PERIODIC REVIEW STOCHASTIC INVENTORY MODEL  -  COMPOUND POISSON DEMAND</t>
  </si>
  <si>
    <t>Bob Agnew, raagnew1@gmail.com, raagnew.com, github.com/raagnew/Optimal-Retail-Inventory-Turnover</t>
  </si>
  <si>
    <t>Available for download at Github website above.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</si>
</sst>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0" fontId="1" fillId="2" borderId="2" xfId="1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0" fontId="1" fillId="2" borderId="3" xfId="1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0" fontId="1" fillId="3" borderId="2" xfId="1" applyNumberFormat="1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10" fontId="1" fillId="3" borderId="3" xfId="1" applyNumberFormat="1" applyFon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7" xfId="0" applyFill="1" applyBorder="1" applyAlignment="1">
      <alignment horizontal="center"/>
    </xf>
    <xf numFmtId="9" fontId="1" fillId="2" borderId="7" xfId="1" applyFont="1" applyFill="1" applyBorder="1" applyAlignment="1">
      <alignment horizontal="center"/>
    </xf>
    <xf numFmtId="0" fontId="3" fillId="0" borderId="0" xfId="0" applyFont="1"/>
    <xf numFmtId="0" fontId="0" fillId="0" borderId="8" xfId="0" applyBorder="1"/>
    <xf numFmtId="0" fontId="0" fillId="0" borderId="9" xfId="0" applyBorder="1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1" fillId="2" borderId="1" xfId="1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0" fontId="1" fillId="3" borderId="1" xfId="1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2" fillId="4" borderId="0" xfId="0" applyFont="1" applyFill="1"/>
    <xf numFmtId="0" fontId="0" fillId="4" borderId="0" xfId="0" applyFill="1"/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164" fontId="0" fillId="3" borderId="14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38"/>
  <sheetViews>
    <sheetView tabSelected="1" workbookViewId="0">
      <selection sqref="A1:Q1"/>
    </sheetView>
  </sheetViews>
  <sheetFormatPr defaultRowHeight="15" x14ac:dyDescent="0.25"/>
  <cols>
    <col min="1" max="1" width="5.140625" customWidth="1"/>
    <col min="2" max="3" width="8.42578125" customWidth="1"/>
    <col min="4" max="4" width="7.5703125" customWidth="1"/>
    <col min="6" max="7" width="7.5703125" customWidth="1"/>
    <col min="8" max="8" width="8.140625" customWidth="1"/>
    <col min="9" max="9" width="9.5703125" bestFit="1" customWidth="1"/>
    <col min="10" max="10" width="8.140625" customWidth="1"/>
    <col min="11" max="11" width="7.42578125" customWidth="1"/>
    <col min="12" max="12" width="9.5703125" customWidth="1"/>
    <col min="13" max="13" width="9" customWidth="1"/>
    <col min="14" max="14" width="10.140625" customWidth="1"/>
    <col min="15" max="15" width="11.28515625" customWidth="1"/>
    <col min="16" max="16" width="9.7109375" customWidth="1"/>
    <col min="17" max="17" width="9" customWidth="1"/>
  </cols>
  <sheetData>
    <row r="1" spans="1:18" ht="23.25" x14ac:dyDescent="0.35">
      <c r="A1" s="53" t="s">
        <v>46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</row>
    <row r="2" spans="1:18" x14ac:dyDescent="0.25">
      <c r="A2" s="1"/>
    </row>
    <row r="3" spans="1:18" ht="18.75" x14ac:dyDescent="0.3">
      <c r="A3" s="54" t="s">
        <v>64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5" spans="1:18" ht="15.75" x14ac:dyDescent="0.25">
      <c r="A5" s="26" t="s">
        <v>0</v>
      </c>
    </row>
    <row r="6" spans="1:18" x14ac:dyDescent="0.25">
      <c r="A6" t="s">
        <v>28</v>
      </c>
    </row>
    <row r="7" spans="1:18" x14ac:dyDescent="0.25">
      <c r="A7" t="s">
        <v>65</v>
      </c>
    </row>
    <row r="9" spans="1:18" ht="15.75" x14ac:dyDescent="0.25">
      <c r="A9" s="26" t="s">
        <v>43</v>
      </c>
    </row>
    <row r="10" spans="1:18" x14ac:dyDescent="0.25">
      <c r="A10" s="6" t="s">
        <v>7</v>
      </c>
      <c r="B10" s="7"/>
      <c r="C10" s="7"/>
      <c r="D10" s="8"/>
      <c r="E10" s="24">
        <v>52</v>
      </c>
      <c r="F10" t="s">
        <v>8</v>
      </c>
    </row>
    <row r="11" spans="1:18" x14ac:dyDescent="0.25">
      <c r="A11" s="6" t="s">
        <v>2</v>
      </c>
      <c r="B11" s="7"/>
      <c r="C11" s="7"/>
      <c r="D11" s="8"/>
      <c r="E11" s="25">
        <v>0.3</v>
      </c>
      <c r="F11" t="s">
        <v>39</v>
      </c>
    </row>
    <row r="14" spans="1:18" x14ac:dyDescent="0.25">
      <c r="A14" s="2"/>
      <c r="B14" s="2" t="s">
        <v>3</v>
      </c>
      <c r="C14" s="2" t="s">
        <v>10</v>
      </c>
      <c r="D14" s="2"/>
      <c r="E14" s="5" t="s">
        <v>34</v>
      </c>
      <c r="F14" s="2" t="s">
        <v>13</v>
      </c>
      <c r="G14" s="2"/>
      <c r="H14" s="2"/>
      <c r="I14" s="2" t="s">
        <v>24</v>
      </c>
      <c r="J14" s="2"/>
      <c r="K14" s="2"/>
      <c r="L14" s="2" t="s">
        <v>31</v>
      </c>
      <c r="M14" s="2" t="s">
        <v>24</v>
      </c>
      <c r="N14" s="2" t="s">
        <v>31</v>
      </c>
      <c r="O14" s="2" t="s">
        <v>31</v>
      </c>
      <c r="P14" s="2"/>
      <c r="Q14" s="2" t="s">
        <v>31</v>
      </c>
      <c r="R14" s="2" t="s">
        <v>31</v>
      </c>
    </row>
    <row r="15" spans="1:18" x14ac:dyDescent="0.25">
      <c r="A15" s="3"/>
      <c r="B15" s="3" t="s">
        <v>4</v>
      </c>
      <c r="C15" s="3" t="s">
        <v>11</v>
      </c>
      <c r="D15" s="3" t="s">
        <v>6</v>
      </c>
      <c r="E15" s="3" t="s">
        <v>35</v>
      </c>
      <c r="F15" s="3" t="s">
        <v>16</v>
      </c>
      <c r="G15" s="3" t="s">
        <v>13</v>
      </c>
      <c r="H15" s="3" t="s">
        <v>17</v>
      </c>
      <c r="I15" s="3" t="s">
        <v>23</v>
      </c>
      <c r="J15" s="3" t="s">
        <v>26</v>
      </c>
      <c r="K15" s="3" t="s">
        <v>29</v>
      </c>
      <c r="L15" s="3" t="s">
        <v>32</v>
      </c>
      <c r="M15" s="3" t="s">
        <v>23</v>
      </c>
      <c r="N15" s="3" t="s">
        <v>18</v>
      </c>
      <c r="O15" s="3" t="s">
        <v>18</v>
      </c>
      <c r="P15" s="3" t="s">
        <v>21</v>
      </c>
      <c r="Q15" s="3" t="s">
        <v>23</v>
      </c>
      <c r="R15" s="3" t="s">
        <v>18</v>
      </c>
    </row>
    <row r="16" spans="1:18" x14ac:dyDescent="0.25">
      <c r="A16" s="4" t="s">
        <v>1</v>
      </c>
      <c r="B16" s="3" t="s">
        <v>5</v>
      </c>
      <c r="C16" s="3" t="s">
        <v>12</v>
      </c>
      <c r="D16" s="3" t="s">
        <v>9</v>
      </c>
      <c r="E16" s="3" t="s">
        <v>36</v>
      </c>
      <c r="F16" s="3" t="s">
        <v>14</v>
      </c>
      <c r="G16" s="3" t="s">
        <v>15</v>
      </c>
      <c r="H16" s="3" t="s">
        <v>5</v>
      </c>
      <c r="I16" s="3" t="s">
        <v>25</v>
      </c>
      <c r="J16" s="3" t="s">
        <v>27</v>
      </c>
      <c r="K16" s="3" t="s">
        <v>30</v>
      </c>
      <c r="L16" s="3" t="s">
        <v>22</v>
      </c>
      <c r="M16" s="3" t="s">
        <v>5</v>
      </c>
      <c r="N16" s="3" t="s">
        <v>19</v>
      </c>
      <c r="O16" s="3" t="s">
        <v>20</v>
      </c>
      <c r="P16" s="3" t="s">
        <v>22</v>
      </c>
      <c r="Q16" s="3" t="s">
        <v>5</v>
      </c>
      <c r="R16" s="4" t="s">
        <v>49</v>
      </c>
    </row>
    <row r="17" spans="1:27" x14ac:dyDescent="0.25">
      <c r="A17" s="2">
        <v>1</v>
      </c>
      <c r="B17" s="29">
        <v>64</v>
      </c>
      <c r="C17" s="29">
        <v>3</v>
      </c>
      <c r="D17" s="29">
        <v>0.5</v>
      </c>
      <c r="E17" s="29">
        <f t="shared" ref="E17:E23" si="0">B17*D17</f>
        <v>32</v>
      </c>
      <c r="F17" s="30">
        <v>1</v>
      </c>
      <c r="G17" s="30">
        <v>0.85</v>
      </c>
      <c r="H17" s="31">
        <f t="shared" ref="H17:H23" si="1">F17/G17-1</f>
        <v>0.17647058823529416</v>
      </c>
      <c r="I17" s="32">
        <f t="shared" ref="I17:I23" si="2">$E$11/H17</f>
        <v>1.6999999999999995</v>
      </c>
      <c r="J17" s="33">
        <f t="shared" ref="J17:J23" si="3">POISSON_OUTL($E$10,B17,C17,D17,I17)</f>
        <v>257</v>
      </c>
      <c r="K17" s="35">
        <f t="shared" ref="K17:K23" si="4">POISSON_SVL(J17,B17,C17,D17)</f>
        <v>0.99734090593435709</v>
      </c>
      <c r="L17" s="32">
        <f t="shared" ref="L17:L23" si="5">POISSON_AVI(J17,B17,C17,D17)</f>
        <v>49.012432569501144</v>
      </c>
      <c r="M17" s="32">
        <f t="shared" ref="M17:M23" si="6">$E$10*B17*(K17-POISSON_SVL(J17-1,B17,C17,D17))/K17</f>
        <v>1.7169617711237817</v>
      </c>
      <c r="N17" s="36">
        <f t="shared" ref="N17:O21" si="7">F17*$E$10*$B17*$K17</f>
        <v>3319.1505349495405</v>
      </c>
      <c r="O17" s="36">
        <f t="shared" si="7"/>
        <v>2821.2779547071091</v>
      </c>
      <c r="P17" s="36">
        <f t="shared" ref="P17:P23" si="8">G17*L17</f>
        <v>41.660567684075971</v>
      </c>
      <c r="Q17" s="32">
        <f t="shared" ref="Q17:Q24" si="9">O17/P17</f>
        <v>67.720583552813508</v>
      </c>
      <c r="R17" s="36">
        <f>(F17-G17)*$E$10*B17*K17-$E$11*P17</f>
        <v>485.37440993720833</v>
      </c>
      <c r="S17" s="37" t="s">
        <v>50</v>
      </c>
      <c r="T17" s="38"/>
      <c r="U17" s="38"/>
      <c r="V17" s="38"/>
    </row>
    <row r="18" spans="1:27" x14ac:dyDescent="0.25">
      <c r="A18" s="3">
        <v>2</v>
      </c>
      <c r="B18" s="9">
        <v>16</v>
      </c>
      <c r="C18" s="9">
        <v>3</v>
      </c>
      <c r="D18" s="9">
        <v>0.5</v>
      </c>
      <c r="E18" s="9">
        <f t="shared" si="0"/>
        <v>8</v>
      </c>
      <c r="F18" s="10">
        <v>3</v>
      </c>
      <c r="G18" s="10">
        <v>2.5</v>
      </c>
      <c r="H18" s="11">
        <f t="shared" si="1"/>
        <v>0.19999999999999996</v>
      </c>
      <c r="I18" s="15">
        <f t="shared" si="2"/>
        <v>1.5000000000000002</v>
      </c>
      <c r="J18" s="16">
        <f t="shared" si="3"/>
        <v>73</v>
      </c>
      <c r="K18" s="17">
        <f t="shared" si="4"/>
        <v>0.99492066832669024</v>
      </c>
      <c r="L18" s="15">
        <f t="shared" si="5"/>
        <v>21.0113981726887</v>
      </c>
      <c r="M18" s="15">
        <f t="shared" si="6"/>
        <v>1.6871164707297244</v>
      </c>
      <c r="N18" s="18">
        <f t="shared" si="7"/>
        <v>2483.3219881434188</v>
      </c>
      <c r="O18" s="18">
        <f t="shared" si="7"/>
        <v>2069.4349901195155</v>
      </c>
      <c r="P18" s="18">
        <f t="shared" si="8"/>
        <v>52.528495431721751</v>
      </c>
      <c r="Q18" s="15">
        <f t="shared" si="9"/>
        <v>39.396426132353902</v>
      </c>
      <c r="R18" s="18">
        <f t="shared" ref="R18:R23" si="10">(F18-G18)*$E$10*B18*K18-$E$11*P18</f>
        <v>398.12844939438662</v>
      </c>
      <c r="S18" s="37" t="s">
        <v>50</v>
      </c>
      <c r="T18" s="38"/>
      <c r="U18" s="38"/>
      <c r="V18" s="38"/>
    </row>
    <row r="19" spans="1:27" x14ac:dyDescent="0.25">
      <c r="A19" s="3">
        <v>3</v>
      </c>
      <c r="B19" s="9">
        <v>4</v>
      </c>
      <c r="C19" s="9">
        <v>6</v>
      </c>
      <c r="D19" s="9">
        <v>1</v>
      </c>
      <c r="E19" s="9">
        <f t="shared" si="0"/>
        <v>4</v>
      </c>
      <c r="F19" s="10">
        <v>15</v>
      </c>
      <c r="G19" s="10">
        <v>12</v>
      </c>
      <c r="H19" s="11">
        <f t="shared" si="1"/>
        <v>0.25</v>
      </c>
      <c r="I19" s="15">
        <f t="shared" si="2"/>
        <v>1.2</v>
      </c>
      <c r="J19" s="16">
        <f t="shared" si="3"/>
        <v>39</v>
      </c>
      <c r="K19" s="17">
        <f t="shared" si="4"/>
        <v>0.98796145062244878</v>
      </c>
      <c r="L19" s="15">
        <f t="shared" si="5"/>
        <v>13.019844054583107</v>
      </c>
      <c r="M19" s="15">
        <f t="shared" si="6"/>
        <v>1.3329539056993747</v>
      </c>
      <c r="N19" s="18">
        <f t="shared" si="7"/>
        <v>3082.4397259420402</v>
      </c>
      <c r="O19" s="18">
        <f t="shared" si="7"/>
        <v>2465.9517807536322</v>
      </c>
      <c r="P19" s="18">
        <f t="shared" si="8"/>
        <v>156.2381286549973</v>
      </c>
      <c r="Q19" s="15">
        <f t="shared" si="9"/>
        <v>15.783290557703172</v>
      </c>
      <c r="R19" s="18">
        <f t="shared" si="10"/>
        <v>569.61650659190889</v>
      </c>
      <c r="S19" s="37" t="s">
        <v>50</v>
      </c>
      <c r="T19" s="38"/>
      <c r="U19" s="38"/>
      <c r="V19" s="38"/>
    </row>
    <row r="20" spans="1:27" x14ac:dyDescent="0.25">
      <c r="A20" s="3">
        <v>4</v>
      </c>
      <c r="B20" s="9">
        <v>1</v>
      </c>
      <c r="C20" s="9">
        <v>6</v>
      </c>
      <c r="D20" s="9">
        <v>1</v>
      </c>
      <c r="E20" s="9">
        <f t="shared" si="0"/>
        <v>1</v>
      </c>
      <c r="F20" s="10">
        <v>50</v>
      </c>
      <c r="G20" s="10">
        <v>30</v>
      </c>
      <c r="H20" s="11">
        <f t="shared" si="1"/>
        <v>0.66666666666666674</v>
      </c>
      <c r="I20" s="15">
        <f t="shared" si="2"/>
        <v>0.44999999999999996</v>
      </c>
      <c r="J20" s="16">
        <f t="shared" si="3"/>
        <v>14</v>
      </c>
      <c r="K20" s="17">
        <f t="shared" si="4"/>
        <v>0.99252708803627254</v>
      </c>
      <c r="L20" s="15">
        <f t="shared" si="5"/>
        <v>7.5051457501235266</v>
      </c>
      <c r="M20" s="15">
        <f t="shared" si="6"/>
        <v>0.4811060666455253</v>
      </c>
      <c r="N20" s="18">
        <f t="shared" si="7"/>
        <v>2580.5704288943084</v>
      </c>
      <c r="O20" s="18">
        <f t="shared" si="7"/>
        <v>1548.3422573365851</v>
      </c>
      <c r="P20" s="18">
        <f t="shared" si="8"/>
        <v>225.15437250370579</v>
      </c>
      <c r="Q20" s="15">
        <f t="shared" si="9"/>
        <v>6.8768029690878025</v>
      </c>
      <c r="R20" s="18">
        <f t="shared" si="10"/>
        <v>964.68185980661178</v>
      </c>
      <c r="S20" s="37" t="s">
        <v>50</v>
      </c>
      <c r="T20" s="38"/>
      <c r="U20" s="38"/>
      <c r="V20" s="38"/>
    </row>
    <row r="21" spans="1:27" x14ac:dyDescent="0.25">
      <c r="A21" s="3">
        <v>5</v>
      </c>
      <c r="B21" s="9">
        <v>0.1</v>
      </c>
      <c r="C21" s="9">
        <v>8</v>
      </c>
      <c r="D21" s="9">
        <v>2</v>
      </c>
      <c r="E21" s="9">
        <f t="shared" si="0"/>
        <v>0.2</v>
      </c>
      <c r="F21" s="10">
        <v>250</v>
      </c>
      <c r="G21" s="10">
        <v>125</v>
      </c>
      <c r="H21" s="11">
        <f t="shared" si="1"/>
        <v>1</v>
      </c>
      <c r="I21" s="15">
        <f t="shared" si="2"/>
        <v>0.3</v>
      </c>
      <c r="J21" s="16">
        <f t="shared" si="3"/>
        <v>3</v>
      </c>
      <c r="K21" s="17">
        <f t="shared" si="4"/>
        <v>0.93680788506898649</v>
      </c>
      <c r="L21" s="15">
        <f t="shared" si="5"/>
        <v>2.1164693798673495</v>
      </c>
      <c r="M21" s="15">
        <f t="shared" si="6"/>
        <v>0.91251241542928618</v>
      </c>
      <c r="N21" s="18">
        <f t="shared" si="7"/>
        <v>1217.8502505896824</v>
      </c>
      <c r="O21" s="18">
        <f t="shared" si="7"/>
        <v>608.92512529484122</v>
      </c>
      <c r="P21" s="18">
        <f t="shared" si="8"/>
        <v>264.55867248341866</v>
      </c>
      <c r="Q21" s="15">
        <f t="shared" si="9"/>
        <v>2.3016638221640831</v>
      </c>
      <c r="R21" s="18">
        <f t="shared" si="10"/>
        <v>529.55752354981564</v>
      </c>
      <c r="S21" s="37" t="s">
        <v>50</v>
      </c>
      <c r="T21" s="38"/>
      <c r="U21" s="38"/>
      <c r="V21" s="38"/>
    </row>
    <row r="22" spans="1:27" x14ac:dyDescent="0.25">
      <c r="A22" s="3">
        <v>6</v>
      </c>
      <c r="B22" s="9">
        <v>0.05</v>
      </c>
      <c r="C22" s="9">
        <v>12</v>
      </c>
      <c r="D22" s="9">
        <v>2</v>
      </c>
      <c r="E22" s="9">
        <f t="shared" si="0"/>
        <v>0.1</v>
      </c>
      <c r="F22" s="10">
        <v>300</v>
      </c>
      <c r="G22" s="10">
        <v>250</v>
      </c>
      <c r="H22" s="11">
        <f t="shared" si="1"/>
        <v>0.19999999999999996</v>
      </c>
      <c r="I22" s="15">
        <f t="shared" si="2"/>
        <v>1.5000000000000002</v>
      </c>
      <c r="J22" s="16">
        <f t="shared" si="3"/>
        <v>1</v>
      </c>
      <c r="K22" s="17">
        <f t="shared" si="4"/>
        <v>0.52226332302616918</v>
      </c>
      <c r="L22" s="15">
        <f t="shared" si="5"/>
        <v>0.52226332302616918</v>
      </c>
      <c r="M22" s="15">
        <f t="shared" si="6"/>
        <v>2.6</v>
      </c>
      <c r="N22" s="18">
        <f>F22*$E$10*$B22*$K22</f>
        <v>407.36539196041196</v>
      </c>
      <c r="O22" s="18">
        <f>G22*$E$10*$B22*$K22</f>
        <v>339.47115996700995</v>
      </c>
      <c r="P22" s="18">
        <f t="shared" si="8"/>
        <v>130.56583075654228</v>
      </c>
      <c r="Q22" s="15">
        <f>O22/P22</f>
        <v>2.6</v>
      </c>
      <c r="R22" s="18">
        <f t="shared" si="10"/>
        <v>28.724482766439301</v>
      </c>
      <c r="S22" s="37" t="s">
        <v>50</v>
      </c>
      <c r="T22" s="38"/>
      <c r="U22" s="38"/>
      <c r="V22" s="38"/>
      <c r="W22" s="55" t="s">
        <v>51</v>
      </c>
      <c r="X22" s="55"/>
      <c r="Y22" s="55"/>
      <c r="Z22" s="55"/>
      <c r="AA22" s="55"/>
    </row>
    <row r="23" spans="1:27" x14ac:dyDescent="0.25">
      <c r="A23" s="4">
        <v>7</v>
      </c>
      <c r="B23" s="12">
        <v>0.05</v>
      </c>
      <c r="C23" s="12">
        <v>12</v>
      </c>
      <c r="D23" s="12">
        <v>2</v>
      </c>
      <c r="E23" s="12">
        <f t="shared" si="0"/>
        <v>0.1</v>
      </c>
      <c r="F23" s="13">
        <v>300</v>
      </c>
      <c r="G23" s="13">
        <v>275</v>
      </c>
      <c r="H23" s="14">
        <f t="shared" si="1"/>
        <v>9.0909090909090828E-2</v>
      </c>
      <c r="I23" s="19">
        <f t="shared" si="2"/>
        <v>3.3000000000000029</v>
      </c>
      <c r="J23" s="34">
        <f t="shared" si="3"/>
        <v>0</v>
      </c>
      <c r="K23" s="20">
        <f t="shared" si="4"/>
        <v>0</v>
      </c>
      <c r="L23" s="19">
        <f t="shared" si="5"/>
        <v>0</v>
      </c>
      <c r="M23" s="19" t="e">
        <f t="shared" si="6"/>
        <v>#DIV/0!</v>
      </c>
      <c r="N23" s="21">
        <f>F23*$E$10*$B23*$K23</f>
        <v>0</v>
      </c>
      <c r="O23" s="21">
        <f>G23*$E$10*$B23*$K23</f>
        <v>0</v>
      </c>
      <c r="P23" s="21">
        <f t="shared" si="8"/>
        <v>0</v>
      </c>
      <c r="Q23" s="19" t="e">
        <f>O23/P23</f>
        <v>#DIV/0!</v>
      </c>
      <c r="R23" s="21">
        <f t="shared" si="10"/>
        <v>0</v>
      </c>
      <c r="S23" s="37" t="s">
        <v>50</v>
      </c>
      <c r="T23" s="38"/>
      <c r="U23" s="38"/>
      <c r="V23" s="38"/>
      <c r="W23" s="55" t="s">
        <v>52</v>
      </c>
      <c r="X23" s="55"/>
      <c r="Y23" s="55"/>
      <c r="Z23" s="55"/>
      <c r="AA23" s="55"/>
    </row>
    <row r="24" spans="1:27" x14ac:dyDescent="0.25">
      <c r="A24" s="6" t="s">
        <v>40</v>
      </c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8"/>
      <c r="N24" s="21">
        <f>SUM(N17:N23)</f>
        <v>13090.698320479403</v>
      </c>
      <c r="O24" s="21">
        <f>SUM(O17:O23)</f>
        <v>9853.4032681786939</v>
      </c>
      <c r="P24" s="21">
        <f>SUM(P17:P23)</f>
        <v>870.70606751446167</v>
      </c>
      <c r="Q24" s="19">
        <f t="shared" si="9"/>
        <v>11.31656667594663</v>
      </c>
      <c r="R24" s="21">
        <f>SUM(R17:R23)</f>
        <v>2976.0832320463701</v>
      </c>
    </row>
    <row r="26" spans="1:27" x14ac:dyDescent="0.25">
      <c r="A26" s="23"/>
      <c r="B26" t="s">
        <v>41</v>
      </c>
    </row>
    <row r="27" spans="1:27" x14ac:dyDescent="0.25">
      <c r="A27" s="22"/>
      <c r="B27" t="s">
        <v>42</v>
      </c>
    </row>
    <row r="30" spans="1:27" x14ac:dyDescent="0.25">
      <c r="A30" t="s">
        <v>33</v>
      </c>
    </row>
    <row r="31" spans="1:27" x14ac:dyDescent="0.25">
      <c r="A31" t="s">
        <v>45</v>
      </c>
    </row>
    <row r="32" spans="1:27" x14ac:dyDescent="0.25">
      <c r="A32" t="s">
        <v>54</v>
      </c>
    </row>
    <row r="33" spans="1:1" x14ac:dyDescent="0.25">
      <c r="A33" t="s">
        <v>48</v>
      </c>
    </row>
    <row r="34" spans="1:1" x14ac:dyDescent="0.25">
      <c r="A34" t="s">
        <v>38</v>
      </c>
    </row>
    <row r="35" spans="1:1" x14ac:dyDescent="0.25">
      <c r="A35" t="s">
        <v>37</v>
      </c>
    </row>
    <row r="36" spans="1:1" x14ac:dyDescent="0.25">
      <c r="A36" t="s">
        <v>44</v>
      </c>
    </row>
    <row r="37" spans="1:1" x14ac:dyDescent="0.25">
      <c r="A37" t="s">
        <v>53</v>
      </c>
    </row>
    <row r="38" spans="1:1" x14ac:dyDescent="0.25">
      <c r="A38" t="s">
        <v>47</v>
      </c>
    </row>
  </sheetData>
  <mergeCells count="4">
    <mergeCell ref="A1:Q1"/>
    <mergeCell ref="A3:Q3"/>
    <mergeCell ref="W22:AA22"/>
    <mergeCell ref="W23:AA23"/>
  </mergeCells>
  <pageMargins left="0" right="0" top="0.75" bottom="0.75" header="0.3" footer="0.3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8021B-4B8C-4566-92B1-3A4C0699B491}">
  <sheetPr codeName="Sheet2">
    <pageSetUpPr fitToPage="1"/>
  </sheetPr>
  <dimension ref="A1:AC34"/>
  <sheetViews>
    <sheetView workbookViewId="0">
      <selection sqref="A1:S1"/>
    </sheetView>
  </sheetViews>
  <sheetFormatPr defaultRowHeight="15" x14ac:dyDescent="0.25"/>
  <cols>
    <col min="1" max="1" width="5.140625" customWidth="1"/>
    <col min="2" max="2" width="8.42578125" customWidth="1"/>
    <col min="3" max="3" width="9.5703125" bestFit="1" customWidth="1"/>
    <col min="4" max="4" width="8.42578125" customWidth="1"/>
    <col min="5" max="5" width="7.5703125" customWidth="1"/>
    <col min="7" max="7" width="11.140625" bestFit="1" customWidth="1"/>
    <col min="8" max="9" width="7.5703125" customWidth="1"/>
    <col min="10" max="10" width="8.140625" customWidth="1"/>
    <col min="11" max="11" width="9.5703125" bestFit="1" customWidth="1"/>
    <col min="12" max="12" width="8.140625" customWidth="1"/>
    <col min="13" max="13" width="7.42578125" customWidth="1"/>
    <col min="14" max="14" width="9.5703125" customWidth="1"/>
    <col min="15" max="15" width="9" customWidth="1"/>
    <col min="16" max="16" width="10.140625" customWidth="1"/>
    <col min="17" max="17" width="11.28515625" customWidth="1"/>
    <col min="18" max="18" width="9.7109375" customWidth="1"/>
    <col min="19" max="19" width="9" customWidth="1"/>
  </cols>
  <sheetData>
    <row r="1" spans="1:20" ht="23.25" x14ac:dyDescent="0.35">
      <c r="A1" s="53" t="s">
        <v>63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20" x14ac:dyDescent="0.25">
      <c r="A2" s="1"/>
    </row>
    <row r="3" spans="1:20" ht="18.75" x14ac:dyDescent="0.3">
      <c r="A3" s="54" t="s">
        <v>64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5" spans="1:20" ht="15.75" x14ac:dyDescent="0.25">
      <c r="A5" s="26" t="s">
        <v>0</v>
      </c>
    </row>
    <row r="6" spans="1:20" x14ac:dyDescent="0.25">
      <c r="A6" t="s">
        <v>28</v>
      </c>
    </row>
    <row r="7" spans="1:20" x14ac:dyDescent="0.25">
      <c r="A7" t="s">
        <v>65</v>
      </c>
    </row>
    <row r="9" spans="1:20" ht="15.75" x14ac:dyDescent="0.25">
      <c r="A9" s="26" t="s">
        <v>43</v>
      </c>
    </row>
    <row r="10" spans="1:20" x14ac:dyDescent="0.25">
      <c r="A10" s="6" t="s">
        <v>7</v>
      </c>
      <c r="B10" s="7"/>
      <c r="C10" s="7"/>
      <c r="D10" s="7"/>
      <c r="E10" s="8"/>
      <c r="F10" s="24">
        <v>52</v>
      </c>
      <c r="G10" t="s">
        <v>8</v>
      </c>
    </row>
    <row r="11" spans="1:20" x14ac:dyDescent="0.25">
      <c r="A11" s="6" t="s">
        <v>2</v>
      </c>
      <c r="B11" s="7"/>
      <c r="C11" s="7"/>
      <c r="D11" s="7"/>
      <c r="E11" s="8"/>
      <c r="F11" s="25">
        <v>0.3</v>
      </c>
      <c r="G11" t="s">
        <v>39</v>
      </c>
    </row>
    <row r="14" spans="1:20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31</v>
      </c>
      <c r="H14" s="2" t="s">
        <v>13</v>
      </c>
      <c r="I14" s="2"/>
      <c r="J14" s="2"/>
      <c r="K14" s="2" t="s">
        <v>24</v>
      </c>
      <c r="L14" s="2"/>
      <c r="M14" s="2"/>
      <c r="N14" s="2" t="s">
        <v>31</v>
      </c>
      <c r="O14" s="2" t="s">
        <v>24</v>
      </c>
      <c r="P14" s="2" t="s">
        <v>31</v>
      </c>
      <c r="Q14" s="2" t="s">
        <v>31</v>
      </c>
      <c r="R14" s="2"/>
      <c r="S14" s="2" t="s">
        <v>31</v>
      </c>
      <c r="T14" s="2" t="s">
        <v>31</v>
      </c>
    </row>
    <row r="15" spans="1:20" x14ac:dyDescent="0.25">
      <c r="A15" s="3"/>
      <c r="B15" s="3" t="s">
        <v>4</v>
      </c>
      <c r="C15" s="3" t="s">
        <v>58</v>
      </c>
      <c r="D15" s="3" t="s">
        <v>11</v>
      </c>
      <c r="E15" s="3" t="s">
        <v>6</v>
      </c>
      <c r="F15" s="3" t="s">
        <v>35</v>
      </c>
      <c r="G15" s="3" t="s">
        <v>60</v>
      </c>
      <c r="H15" s="3" t="s">
        <v>16</v>
      </c>
      <c r="I15" s="3" t="s">
        <v>13</v>
      </c>
      <c r="J15" s="3" t="s">
        <v>17</v>
      </c>
      <c r="K15" s="3" t="s">
        <v>23</v>
      </c>
      <c r="L15" s="3" t="s">
        <v>26</v>
      </c>
      <c r="M15" s="3" t="s">
        <v>29</v>
      </c>
      <c r="N15" s="3" t="s">
        <v>32</v>
      </c>
      <c r="O15" s="3" t="s">
        <v>23</v>
      </c>
      <c r="P15" s="3" t="s">
        <v>18</v>
      </c>
      <c r="Q15" s="3" t="s">
        <v>18</v>
      </c>
      <c r="R15" s="3" t="s">
        <v>21</v>
      </c>
      <c r="S15" s="3" t="s">
        <v>23</v>
      </c>
      <c r="T15" s="3" t="s">
        <v>18</v>
      </c>
    </row>
    <row r="16" spans="1:20" x14ac:dyDescent="0.25">
      <c r="A16" s="4" t="s">
        <v>1</v>
      </c>
      <c r="B16" s="3" t="s">
        <v>5</v>
      </c>
      <c r="C16" s="3" t="s">
        <v>59</v>
      </c>
      <c r="D16" s="3" t="s">
        <v>12</v>
      </c>
      <c r="E16" s="3" t="s">
        <v>9</v>
      </c>
      <c r="F16" s="3" t="s">
        <v>36</v>
      </c>
      <c r="G16" s="3" t="s">
        <v>36</v>
      </c>
      <c r="H16" s="3" t="s">
        <v>14</v>
      </c>
      <c r="I16" s="3" t="s">
        <v>15</v>
      </c>
      <c r="J16" s="3" t="s">
        <v>5</v>
      </c>
      <c r="K16" s="3" t="s">
        <v>25</v>
      </c>
      <c r="L16" s="3" t="s">
        <v>27</v>
      </c>
      <c r="M16" s="3" t="s">
        <v>30</v>
      </c>
      <c r="N16" s="3" t="s">
        <v>22</v>
      </c>
      <c r="O16" s="3" t="s">
        <v>5</v>
      </c>
      <c r="P16" s="3" t="s">
        <v>19</v>
      </c>
      <c r="Q16" s="3" t="s">
        <v>20</v>
      </c>
      <c r="R16" s="3" t="s">
        <v>22</v>
      </c>
      <c r="S16" s="3" t="s">
        <v>5</v>
      </c>
      <c r="T16" s="4" t="s">
        <v>49</v>
      </c>
    </row>
    <row r="17" spans="1:29" x14ac:dyDescent="0.25">
      <c r="A17" s="2" t="s">
        <v>55</v>
      </c>
      <c r="B17" s="29">
        <v>64</v>
      </c>
      <c r="C17" s="29">
        <f>SQRT(B17*5/2)</f>
        <v>12.649110640673518</v>
      </c>
      <c r="D17" s="29">
        <v>3</v>
      </c>
      <c r="E17" s="29">
        <v>0.5</v>
      </c>
      <c r="F17" s="39">
        <f>B17*E17</f>
        <v>32</v>
      </c>
      <c r="G17" s="29">
        <f>C17^2/B17</f>
        <v>2.5000000000000004</v>
      </c>
      <c r="H17" s="42">
        <v>1</v>
      </c>
      <c r="I17" s="30">
        <v>0.85</v>
      </c>
      <c r="J17" s="31">
        <f>H17/I17-1</f>
        <v>0.17647058823529416</v>
      </c>
      <c r="K17" s="45">
        <f>$F$11/J17</f>
        <v>1.6999999999999995</v>
      </c>
      <c r="L17" s="47">
        <f>ROUND(G17*POISSON_OUTL($F$10,B17/G17,D17,E17,K17),0)</f>
        <v>275</v>
      </c>
      <c r="M17" s="35">
        <f>POISSON_SVL(ROUND(L17/G17,0),B17/G17,D17,E17)</f>
        <v>0.99482995935543295</v>
      </c>
      <c r="N17" s="32">
        <f>G17*POISSON_AVI(ROUND(L17/G17,0),B17/G17,D17,E17)</f>
        <v>67.038108023912429</v>
      </c>
      <c r="O17" s="32">
        <f>$F$10*(B17/G17)*(M17-POISSON_SVL(ROUND(L17/G17,0)-1,B17/G17,D17,E17))/M17</f>
        <v>2.0979761536338097</v>
      </c>
      <c r="P17" s="50">
        <f t="shared" ref="P17:Q19" si="0">H17*$F$10*$B17*$M17</f>
        <v>3310.7941047348809</v>
      </c>
      <c r="Q17" s="36">
        <f t="shared" si="0"/>
        <v>2814.1749890246483</v>
      </c>
      <c r="R17" s="36">
        <f>I17*N17</f>
        <v>56.98239182032556</v>
      </c>
      <c r="S17" s="32">
        <f>Q17/R17</f>
        <v>49.386747363960865</v>
      </c>
      <c r="T17" s="36">
        <f>(H17-I17)*$F$10*B17*M17-$F$11*R17</f>
        <v>479.52439816413448</v>
      </c>
      <c r="U17" s="37" t="s">
        <v>61</v>
      </c>
      <c r="V17" s="38"/>
      <c r="W17" s="38"/>
      <c r="X17" s="38"/>
      <c r="Y17" s="38"/>
      <c r="Z17" s="38"/>
      <c r="AA17" s="38"/>
      <c r="AB17" s="38"/>
      <c r="AC17" s="38"/>
    </row>
    <row r="18" spans="1:29" x14ac:dyDescent="0.25">
      <c r="A18" s="3" t="s">
        <v>56</v>
      </c>
      <c r="B18" s="9">
        <v>16</v>
      </c>
      <c r="C18" s="9">
        <f>SQRT(B18*5/2)</f>
        <v>6.324555320336759</v>
      </c>
      <c r="D18" s="9">
        <v>3</v>
      </c>
      <c r="E18" s="9">
        <v>0.5</v>
      </c>
      <c r="F18" s="40">
        <f>B18*E18</f>
        <v>8</v>
      </c>
      <c r="G18" s="9">
        <f>C18^2/B18</f>
        <v>2.5000000000000004</v>
      </c>
      <c r="H18" s="43">
        <v>3</v>
      </c>
      <c r="I18" s="10">
        <v>2.5</v>
      </c>
      <c r="J18" s="11">
        <f>H18/I18-1</f>
        <v>0.19999999999999996</v>
      </c>
      <c r="K18" s="46">
        <f>$F$11/J18</f>
        <v>1.5000000000000002</v>
      </c>
      <c r="L18" s="48">
        <f>ROUND(G18*POISSON_OUTL($F$10,B18/G18,D18,E18,K18),0)</f>
        <v>83</v>
      </c>
      <c r="M18" s="17">
        <f t="shared" ref="M18:M19" si="1">POISSON_SVL(ROUND(L18/G18,0),B18/G18,D18,E18)</f>
        <v>0.99061946625163833</v>
      </c>
      <c r="N18" s="15">
        <f t="shared" ref="N18:N19" si="2">G18*POISSON_AVI(ROUND(L18/G18,0),B18/G18,D18,E18)</f>
        <v>30.533006482293825</v>
      </c>
      <c r="O18" s="15">
        <f t="shared" ref="O18:O19" si="3">$F$10*(B18/G18)*(M18-POISSON_SVL(ROUND(L18/G18,0)-1,B18/G18,D18,E18))/M18</f>
        <v>1.9444003822136799</v>
      </c>
      <c r="P18" s="51">
        <f t="shared" si="0"/>
        <v>2472.5861877640891</v>
      </c>
      <c r="Q18" s="18">
        <f t="shared" si="0"/>
        <v>2060.4884898034079</v>
      </c>
      <c r="R18" s="18">
        <f>I18*N18</f>
        <v>76.332516205734564</v>
      </c>
      <c r="S18" s="15">
        <f>Q18/R18</f>
        <v>26.993587952084454</v>
      </c>
      <c r="T18" s="18">
        <f>(H18-I18)*$F$10*B18*M18-$F$11*R18</f>
        <v>389.19794309896122</v>
      </c>
      <c r="U18" s="37" t="s">
        <v>61</v>
      </c>
      <c r="V18" s="38"/>
      <c r="W18" s="38"/>
      <c r="X18" s="38"/>
      <c r="Y18" s="38"/>
      <c r="Z18" s="38"/>
      <c r="AA18" s="38"/>
      <c r="AB18" s="38"/>
      <c r="AC18" s="38"/>
    </row>
    <row r="19" spans="1:29" x14ac:dyDescent="0.25">
      <c r="A19" s="3" t="s">
        <v>57</v>
      </c>
      <c r="B19" s="9">
        <v>4</v>
      </c>
      <c r="C19" s="12">
        <f>SQRT(B19*5/2)</f>
        <v>3.1622776601683795</v>
      </c>
      <c r="D19" s="12">
        <v>6</v>
      </c>
      <c r="E19" s="12">
        <v>1</v>
      </c>
      <c r="F19" s="41">
        <f>B19*E19</f>
        <v>4</v>
      </c>
      <c r="G19" s="12">
        <f>C19^2/B19</f>
        <v>2.5000000000000004</v>
      </c>
      <c r="H19" s="44">
        <v>15</v>
      </c>
      <c r="I19" s="13">
        <v>12</v>
      </c>
      <c r="J19" s="14">
        <f>H19/I19-1</f>
        <v>0.25</v>
      </c>
      <c r="K19" s="46">
        <f>$F$11/J19</f>
        <v>1.2</v>
      </c>
      <c r="L19" s="49">
        <f>ROUND(G19*POISSON_OUTL($F$10,B19/G19,D19,E19,K19),0)</f>
        <v>45</v>
      </c>
      <c r="M19" s="20">
        <f t="shared" si="1"/>
        <v>0.97873086683398691</v>
      </c>
      <c r="N19" s="19">
        <f t="shared" si="2"/>
        <v>19.055106307650469</v>
      </c>
      <c r="O19" s="19">
        <f t="shared" si="3"/>
        <v>1.4535050644601528</v>
      </c>
      <c r="P19" s="52">
        <f t="shared" si="0"/>
        <v>3053.6403045220391</v>
      </c>
      <c r="Q19" s="21">
        <f t="shared" si="0"/>
        <v>2442.9122436176312</v>
      </c>
      <c r="R19" s="21">
        <f>I19*N19</f>
        <v>228.66127569180563</v>
      </c>
      <c r="S19" s="19">
        <f>Q19/R19</f>
        <v>10.683541567004282</v>
      </c>
      <c r="T19" s="21">
        <f>(H19-I19)*$F$10*B19*M19-$F$11*R19</f>
        <v>542.12967819686617</v>
      </c>
      <c r="U19" s="37" t="s">
        <v>61</v>
      </c>
      <c r="V19" s="38"/>
      <c r="W19" s="38"/>
      <c r="X19" s="38"/>
      <c r="Y19" s="38"/>
      <c r="Z19" s="38"/>
      <c r="AA19" s="38"/>
      <c r="AB19" s="38"/>
      <c r="AC19" s="38"/>
    </row>
    <row r="20" spans="1:29" x14ac:dyDescent="0.25">
      <c r="A20" s="6" t="s">
        <v>40</v>
      </c>
      <c r="B20" s="6"/>
      <c r="C20" s="7"/>
      <c r="D20" s="7"/>
      <c r="E20" s="7"/>
      <c r="F20" s="7"/>
      <c r="G20" s="27"/>
      <c r="H20" s="7"/>
      <c r="I20" s="7"/>
      <c r="J20" s="7"/>
      <c r="K20" s="7"/>
      <c r="L20" s="27"/>
      <c r="M20" s="27"/>
      <c r="N20" s="27"/>
      <c r="O20" s="28"/>
      <c r="P20" s="21">
        <f>SUM(P17:P19)</f>
        <v>8837.02059702101</v>
      </c>
      <c r="Q20" s="21">
        <f>SUM(Q17:Q19)</f>
        <v>7317.5757224456875</v>
      </c>
      <c r="R20" s="21">
        <f>SUM(R17:R19)</f>
        <v>361.97618371786575</v>
      </c>
      <c r="S20" s="19">
        <f>Q20/R20</f>
        <v>20.215627578827696</v>
      </c>
      <c r="T20" s="21">
        <f>SUM(T17:T19)</f>
        <v>1410.8520194599619</v>
      </c>
    </row>
    <row r="22" spans="1:29" x14ac:dyDescent="0.25">
      <c r="A22" s="23"/>
      <c r="B22" t="s">
        <v>41</v>
      </c>
    </row>
    <row r="23" spans="1:29" x14ac:dyDescent="0.25">
      <c r="A23" s="22"/>
      <c r="B23" t="s">
        <v>42</v>
      </c>
    </row>
    <row r="26" spans="1:29" x14ac:dyDescent="0.25">
      <c r="A26" t="s">
        <v>33</v>
      </c>
    </row>
    <row r="27" spans="1:29" x14ac:dyDescent="0.25">
      <c r="A27" t="s">
        <v>45</v>
      </c>
    </row>
    <row r="28" spans="1:29" x14ac:dyDescent="0.25">
      <c r="A28" t="s">
        <v>62</v>
      </c>
    </row>
    <row r="29" spans="1:29" x14ac:dyDescent="0.25">
      <c r="A29" t="s">
        <v>48</v>
      </c>
    </row>
    <row r="30" spans="1:29" x14ac:dyDescent="0.25">
      <c r="A30" t="s">
        <v>38</v>
      </c>
    </row>
    <row r="31" spans="1:29" x14ac:dyDescent="0.25">
      <c r="A31" t="s">
        <v>37</v>
      </c>
    </row>
    <row r="32" spans="1:29" x14ac:dyDescent="0.25">
      <c r="A32" t="s">
        <v>44</v>
      </c>
    </row>
    <row r="33" spans="1:1" x14ac:dyDescent="0.25">
      <c r="A33" t="s">
        <v>53</v>
      </c>
    </row>
    <row r="34" spans="1:1" x14ac:dyDescent="0.25">
      <c r="A34" t="s">
        <v>47</v>
      </c>
    </row>
  </sheetData>
  <mergeCells count="2">
    <mergeCell ref="A1:S1"/>
    <mergeCell ref="A3:S3"/>
  </mergeCells>
  <pageMargins left="0" right="0" top="0.75" bottom="0.75" header="0.3" footer="0.3"/>
  <pageSetup scale="5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POISSON</vt:lpstr>
      <vt:lpstr>COMPOUND_POISSON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Agnew</dc:creator>
  <cp:lastModifiedBy>ROBERT AGNEW</cp:lastModifiedBy>
  <cp:lastPrinted>2021-07-16T22:46:33Z</cp:lastPrinted>
  <dcterms:created xsi:type="dcterms:W3CDTF">2010-05-16T01:44:22Z</dcterms:created>
  <dcterms:modified xsi:type="dcterms:W3CDTF">2024-06-19T19:44:42Z</dcterms:modified>
</cp:coreProperties>
</file>